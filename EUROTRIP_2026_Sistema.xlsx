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sumo" sheetId="1" state="visible" r:id="rId1"/>
    <sheet xmlns:r="http://schemas.openxmlformats.org/officeDocument/2006/relationships" name="1_Itinerario" sheetId="2" state="visible" r:id="rId2"/>
    <sheet xmlns:r="http://schemas.openxmlformats.org/officeDocument/2006/relationships" name="2_Transportes" sheetId="3" state="visible" r:id="rId3"/>
    <sheet xmlns:r="http://schemas.openxmlformats.org/officeDocument/2006/relationships" name="3_Hospedagem" sheetId="4" state="visible" r:id="rId4"/>
    <sheet xmlns:r="http://schemas.openxmlformats.org/officeDocument/2006/relationships" name="4_Atracoes" sheetId="5" state="visible" r:id="rId5"/>
    <sheet xmlns:r="http://schemas.openxmlformats.org/officeDocument/2006/relationships" name="5_Financeiro" sheetId="6" state="visible" r:id="rId6"/>
    <sheet xmlns:r="http://schemas.openxmlformats.org/officeDocument/2006/relationships" name="6_Checklist" sheetId="7" state="visible" r:id="rId7"/>
  </sheets>
  <definedNames>
    <definedName name="_xlnm._FilterDatabase" localSheetId="1" hidden="1">'1_Itinerario'!$A$4:$H$41</definedName>
    <definedName name="_xlnm._FilterDatabase" localSheetId="2" hidden="1">'2_Transportes'!$A$4:$I$18</definedName>
    <definedName name="_xlnm._FilterDatabase" localSheetId="3" hidden="1">'3_Hospedagem'!$A$4:$G$16</definedName>
    <definedName name="_xlnm._FilterDatabase" localSheetId="4" hidden="1">'4_Atracoes'!$A$4:$H$26</definedName>
    <definedName name="_xlnm._FilterDatabase" localSheetId="5" hidden="1">'5_Financeiro'!$A$4:$G$53</definedName>
    <definedName name="_xlnm._FilterDatabase" localSheetId="6" hidden="1">'6_Checklist'!$A$4:$C$25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color rgb="001F3864"/>
      <sz val="20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4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0" fontId="3" fillId="2" borderId="1" pivotButton="0" quotePrefix="0" xfId="0"/>
    <xf numFmtId="4" fontId="0" fillId="0" borderId="1" applyAlignment="1" pivotButton="0" quotePrefix="0" xfId="0">
      <alignment vertical="center"/>
    </xf>
    <xf numFmtId="4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EUROTRIP 2026 — Painel de Controle</t>
        </is>
      </c>
    </row>
    <row r="2">
      <c r="A2" s="2" t="inlineStr">
        <is>
          <t>Itália · França · Luxemburgo · Alemanha · Polônia · Albânia — 30 dias (06/08 a 04/09/2026)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dias de viagem</t>
        </is>
      </c>
      <c r="B5" s="4" t="n">
        <v>30</v>
      </c>
    </row>
    <row r="6">
      <c r="A6" s="4" t="inlineStr">
        <is>
          <t>Países visitados</t>
        </is>
      </c>
      <c r="B6" s="4" t="n">
        <v>6</v>
      </c>
    </row>
    <row r="7">
      <c r="A7" s="4" t="inlineStr">
        <is>
          <t>Atividades no itinerário</t>
        </is>
      </c>
      <c r="B7" s="4" t="n">
        <v>37</v>
      </c>
    </row>
    <row r="8">
      <c r="A8" s="4" t="inlineStr">
        <is>
          <t>Trechos de transporte</t>
        </is>
      </c>
      <c r="B8" s="4" t="n">
        <v>14</v>
      </c>
    </row>
    <row r="9">
      <c r="A9" s="4" t="inlineStr">
        <is>
          <t>Hospedagens planejadas</t>
        </is>
      </c>
      <c r="B9" s="4" t="n">
        <v>12</v>
      </c>
    </row>
    <row r="10">
      <c r="A10" s="4" t="inlineStr">
        <is>
          <t>Atrações mapeadas</t>
        </is>
      </c>
      <c r="B10" s="4" t="n">
        <v>22</v>
      </c>
    </row>
    <row r="11">
      <c r="A11" s="4" t="inlineStr">
        <is>
          <t>Itens no checklist</t>
        </is>
      </c>
      <c r="B11" s="4" t="n">
        <v>21</v>
      </c>
    </row>
    <row r="12">
      <c r="A12" s="4" t="inlineStr">
        <is>
          <t>Dias confirmados (documento original)</t>
        </is>
      </c>
      <c r="B12" s="4" t="n">
        <v>12</v>
      </c>
    </row>
    <row r="13">
      <c r="A13" s="4" t="inlineStr">
        <is>
          <t>Dias em rascunho (sugestão a validar)</t>
        </is>
      </c>
      <c r="B13" s="4" t="n">
        <v>25</v>
      </c>
    </row>
    <row r="15">
      <c r="A15" s="5" t="inlineStr">
        <is>
          <t>Orçamento total estimado (EUR)</t>
        </is>
      </c>
      <c r="B15" s="6">
        <f>SUM('5_Financeiro'!D5:D53)</f>
        <v/>
      </c>
    </row>
    <row r="17">
      <c r="A17" s="5" t="inlineStr">
        <is>
          <t>Legenda de status:</t>
        </is>
      </c>
    </row>
    <row r="18">
      <c r="A18" s="7" t="inlineStr">
        <is>
          <t>Confirmado / OK</t>
        </is>
      </c>
    </row>
    <row r="19">
      <c r="A19" s="8" t="inlineStr">
        <is>
          <t>Sugestão - validar / Pendente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34" customWidth="1" min="5" max="5"/>
    <col width="15" customWidth="1" min="6" max="6"/>
    <col width="45" customWidth="1" min="7" max="7"/>
    <col width="18" customWidth="1" min="8" max="8"/>
  </cols>
  <sheetData>
    <row r="1">
      <c r="A1" s="9" t="inlineStr">
        <is>
          <t>🗺️ ITINERÁRIO</t>
        </is>
      </c>
    </row>
    <row r="2">
      <c r="A2" s="2" t="inlineStr">
        <is>
          <t>EUROTRIP 2026 — 37 registros</t>
        </is>
      </c>
    </row>
    <row r="4">
      <c r="A4" s="10" t="inlineStr">
        <is>
          <t>ID</t>
        </is>
      </c>
      <c r="B4" s="10" t="inlineStr">
        <is>
          <t>Data</t>
        </is>
      </c>
      <c r="C4" s="10" t="inlineStr">
        <is>
          <t>Cidade</t>
        </is>
      </c>
      <c r="D4" s="10" t="inlineStr">
        <is>
          <t>País</t>
        </is>
      </c>
      <c r="E4" s="10" t="inlineStr">
        <is>
          <t>Atividade</t>
        </is>
      </c>
      <c r="F4" s="10" t="inlineStr">
        <is>
          <t>Tipo</t>
        </is>
      </c>
      <c r="G4" s="10" t="inlineStr">
        <is>
          <t>Descrição</t>
        </is>
      </c>
      <c r="H4" s="10" t="inlineStr">
        <is>
          <t>Status</t>
        </is>
      </c>
    </row>
    <row r="5">
      <c r="A5" s="11" t="inlineStr">
        <is>
          <t>IT-01</t>
        </is>
      </c>
      <c r="B5" s="12" t="n">
        <v>46240</v>
      </c>
      <c r="C5" s="11" t="inlineStr">
        <is>
          <t>Milão</t>
        </is>
      </c>
      <c r="D5" s="11" t="inlineStr">
        <is>
          <t>Itália</t>
        </is>
      </c>
      <c r="E5" s="11" t="inlineStr">
        <is>
          <t>Chegada (voo/trem internacional)</t>
        </is>
      </c>
      <c r="F5" s="11" t="inlineStr">
        <is>
          <t>Deslocamento</t>
        </is>
      </c>
      <c r="G5" s="13" t="inlineStr">
        <is>
          <t>Chegada a Milão - conferir bilhete de trem/avião até a cidade</t>
        </is>
      </c>
      <c r="H5" s="11" t="inlineStr">
        <is>
          <t>Confirmado</t>
        </is>
      </c>
    </row>
    <row r="6">
      <c r="A6" s="11" t="inlineStr">
        <is>
          <t>IT-02</t>
        </is>
      </c>
      <c r="B6" s="12" t="n">
        <v>46240</v>
      </c>
      <c r="C6" s="11" t="inlineStr">
        <is>
          <t>Milão</t>
        </is>
      </c>
      <c r="D6" s="11" t="inlineStr">
        <is>
          <t>Itália</t>
        </is>
      </c>
      <c r="E6" s="11" t="inlineStr">
        <is>
          <t>Duomo di Milano + terraço</t>
        </is>
      </c>
      <c r="F6" s="11" t="inlineStr">
        <is>
          <t>Turismo</t>
        </is>
      </c>
      <c r="G6" s="13" t="inlineStr">
        <is>
          <t>Comprar ingresso com acesso ao terraço</t>
        </is>
      </c>
      <c r="H6" s="11" t="inlineStr">
        <is>
          <t>Confirmado</t>
        </is>
      </c>
    </row>
    <row r="7">
      <c r="A7" s="11" t="inlineStr">
        <is>
          <t>IT-03</t>
        </is>
      </c>
      <c r="B7" s="12" t="n">
        <v>46240</v>
      </c>
      <c r="C7" s="11" t="inlineStr">
        <is>
          <t>Milão</t>
        </is>
      </c>
      <c r="D7" s="11" t="inlineStr">
        <is>
          <t>Itália</t>
        </is>
      </c>
      <c r="E7" s="11" t="inlineStr">
        <is>
          <t>Galleria Vittorio Emanuele II</t>
        </is>
      </c>
      <c r="F7" s="11" t="inlineStr">
        <is>
          <t>Turismo</t>
        </is>
      </c>
      <c r="G7" s="13" t="inlineStr">
        <is>
          <t>Passagem pela galeria - acesso gratuito</t>
        </is>
      </c>
      <c r="H7" s="11" t="inlineStr">
        <is>
          <t>Confirmado</t>
        </is>
      </c>
    </row>
    <row r="8">
      <c r="A8" s="11" t="inlineStr">
        <is>
          <t>IT-04</t>
        </is>
      </c>
      <c r="B8" s="12" t="n">
        <v>46240</v>
      </c>
      <c r="C8" s="11" t="inlineStr">
        <is>
          <t>Milão</t>
        </is>
      </c>
      <c r="D8" s="11" t="inlineStr">
        <is>
          <t>Itália</t>
        </is>
      </c>
      <c r="E8" s="11" t="inlineStr">
        <is>
          <t>Santa Maria delle Grazie (A Última Ceia)</t>
        </is>
      </c>
      <c r="F8" s="11" t="inlineStr">
        <is>
          <t>Turismo</t>
        </is>
      </c>
      <c r="G8" s="13" t="inlineStr">
        <is>
          <t>Ingresso com horário marcado no site do museu - 15 EUR</t>
        </is>
      </c>
      <c r="H8" s="11" t="inlineStr">
        <is>
          <t>Confirmado</t>
        </is>
      </c>
    </row>
    <row r="9">
      <c r="A9" s="11" t="inlineStr">
        <is>
          <t>IT-05</t>
        </is>
      </c>
      <c r="B9" s="12" t="n">
        <v>46240</v>
      </c>
      <c r="C9" s="11" t="inlineStr">
        <is>
          <t>Milão</t>
        </is>
      </c>
      <c r="D9" s="11" t="inlineStr">
        <is>
          <t>Itália</t>
        </is>
      </c>
      <c r="E9" s="11" t="inlineStr">
        <is>
          <t>Castello Sforzesco</t>
        </is>
      </c>
      <c r="F9" s="11" t="inlineStr">
        <is>
          <t>Turismo</t>
        </is>
      </c>
      <c r="G9" s="13" t="inlineStr">
        <is>
          <t>Pátio gratuito; museus internos com ingresso à parte</t>
        </is>
      </c>
      <c r="H9" s="11" t="inlineStr">
        <is>
          <t>Confirmado</t>
        </is>
      </c>
    </row>
    <row r="10">
      <c r="A10" s="11" t="inlineStr">
        <is>
          <t>IT-06</t>
        </is>
      </c>
      <c r="B10" s="12" t="n">
        <v>46240</v>
      </c>
      <c r="C10" s="11" t="inlineStr">
        <is>
          <t>Milão</t>
        </is>
      </c>
      <c r="D10" s="11" t="inlineStr">
        <is>
          <t>Itália</t>
        </is>
      </c>
      <c r="E10" s="11" t="inlineStr">
        <is>
          <t>Museu Leonardo da Vinci (Ciência e Tecnologia)</t>
        </is>
      </c>
      <c r="F10" s="11" t="inlineStr">
        <is>
          <t>Turismo</t>
        </is>
      </c>
      <c r="G10" s="13" t="inlineStr">
        <is>
          <t>Comprar ingresso - 10 EUR</t>
        </is>
      </c>
      <c r="H10" s="11" t="inlineStr">
        <is>
          <t>Confirmado</t>
        </is>
      </c>
    </row>
    <row r="11">
      <c r="A11" s="11" t="inlineStr">
        <is>
          <t>IT-07</t>
        </is>
      </c>
      <c r="B11" s="12" t="n">
        <v>46241</v>
      </c>
      <c r="C11" s="11" t="inlineStr">
        <is>
          <t>Milão</t>
        </is>
      </c>
      <c r="D11" s="11" t="inlineStr">
        <is>
          <t>Itália</t>
        </is>
      </c>
      <c r="E11" s="11" t="inlineStr">
        <is>
          <t>Dia livre / compras / restaurantes</t>
        </is>
      </c>
      <c r="F11" s="11" t="inlineStr">
        <is>
          <t>Descanso</t>
        </is>
      </c>
      <c r="G11" s="13" t="inlineStr">
        <is>
          <t>Dia livre em Milão</t>
        </is>
      </c>
      <c r="H11" s="11" t="inlineStr">
        <is>
          <t>Confirmado</t>
        </is>
      </c>
    </row>
    <row r="12">
      <c r="A12" s="11" t="inlineStr">
        <is>
          <t>IT-08</t>
        </is>
      </c>
      <c r="B12" s="12" t="n">
        <v>46242</v>
      </c>
      <c r="C12" s="11" t="inlineStr">
        <is>
          <t>Lago di Garda</t>
        </is>
      </c>
      <c r="D12" s="11" t="inlineStr">
        <is>
          <t>Itália</t>
        </is>
      </c>
      <c r="E12" s="11" t="inlineStr">
        <is>
          <t>Estadia Lago di Garda (dia 1)</t>
        </is>
      </c>
      <c r="F12" s="11" t="inlineStr">
        <is>
          <t>Turismo</t>
        </is>
      </c>
      <c r="G12" s="13" t="inlineStr">
        <is>
          <t>Passeio pela região do lago</t>
        </is>
      </c>
      <c r="H12" s="11" t="inlineStr">
        <is>
          <t>Confirmado</t>
        </is>
      </c>
    </row>
    <row r="13">
      <c r="A13" s="11" t="inlineStr">
        <is>
          <t>IT-09</t>
        </is>
      </c>
      <c r="B13" s="12" t="n">
        <v>46243</v>
      </c>
      <c r="C13" s="11" t="inlineStr">
        <is>
          <t>Lago di Garda</t>
        </is>
      </c>
      <c r="D13" s="11" t="inlineStr">
        <is>
          <t>Itália</t>
        </is>
      </c>
      <c r="E13" s="11" t="inlineStr">
        <is>
          <t>Estadia Lago di Garda (dia 2)</t>
        </is>
      </c>
      <c r="F13" s="11" t="inlineStr">
        <is>
          <t>Turismo</t>
        </is>
      </c>
      <c r="G13" s="13" t="inlineStr">
        <is>
          <t>Passeio pela região do lago</t>
        </is>
      </c>
      <c r="H13" s="11" t="inlineStr">
        <is>
          <t>Confirmado</t>
        </is>
      </c>
    </row>
    <row r="14">
      <c r="A14" s="11" t="inlineStr">
        <is>
          <t>IT-10</t>
        </is>
      </c>
      <c r="B14" s="12" t="n">
        <v>46244</v>
      </c>
      <c r="C14" s="11" t="inlineStr">
        <is>
          <t>Sorrento</t>
        </is>
      </c>
      <c r="D14" s="11" t="inlineStr">
        <is>
          <t>Itália</t>
        </is>
      </c>
      <c r="E14" s="11" t="inlineStr">
        <is>
          <t>Trem Pordenone -&gt; Veneza (07:21-08:27)</t>
        </is>
      </c>
      <c r="F14" s="11" t="inlineStr">
        <is>
          <t>Deslocamento</t>
        </is>
      </c>
      <c r="G14" s="13" t="inlineStr">
        <is>
          <t>Ver tabela Transportes</t>
        </is>
      </c>
      <c r="H14" s="11" t="inlineStr">
        <is>
          <t>Confirmado</t>
        </is>
      </c>
    </row>
    <row r="15">
      <c r="A15" s="11" t="inlineStr">
        <is>
          <t>IT-11</t>
        </is>
      </c>
      <c r="B15" s="12" t="n">
        <v>46244</v>
      </c>
      <c r="C15" s="11" t="inlineStr">
        <is>
          <t>Sorrento</t>
        </is>
      </c>
      <c r="D15" s="11" t="inlineStr">
        <is>
          <t>Itália</t>
        </is>
      </c>
      <c r="E15" s="11" t="inlineStr">
        <is>
          <t>Voo Veneza -&gt; Nápoles (15:05-16:25)</t>
        </is>
      </c>
      <c r="F15" s="11" t="inlineStr">
        <is>
          <t>Deslocamento</t>
        </is>
      </c>
      <c r="G15" s="13" t="inlineStr">
        <is>
          <t>Ver tabela Transportes</t>
        </is>
      </c>
      <c r="H15" s="11" t="inlineStr">
        <is>
          <t>Confirmado</t>
        </is>
      </c>
    </row>
    <row r="16">
      <c r="A16" s="11" t="inlineStr">
        <is>
          <t>IT-12</t>
        </is>
      </c>
      <c r="B16" s="12" t="n">
        <v>46244</v>
      </c>
      <c r="C16" s="11" t="inlineStr">
        <is>
          <t>Sorrento</t>
        </is>
      </c>
      <c r="D16" s="11" t="inlineStr">
        <is>
          <t>Itália</t>
        </is>
      </c>
      <c r="E16" s="11" t="inlineStr">
        <is>
          <t>Check-in Hotel Sorrento Coast Suites</t>
        </is>
      </c>
      <c r="F16" s="11" t="inlineStr">
        <is>
          <t>Deslocamento</t>
        </is>
      </c>
      <c r="G16" s="13" t="inlineStr">
        <is>
          <t>Check-in a partir das 14h</t>
        </is>
      </c>
      <c r="H16" s="11" t="inlineStr">
        <is>
          <t>Confirmado</t>
        </is>
      </c>
    </row>
    <row r="17">
      <c r="A17" s="11" t="inlineStr">
        <is>
          <t>IT-13</t>
        </is>
      </c>
      <c r="B17" s="12" t="n">
        <v>46245</v>
      </c>
      <c r="C17" s="11" t="inlineStr">
        <is>
          <t>Positano</t>
        </is>
      </c>
      <c r="D17" s="11" t="inlineStr">
        <is>
          <t>Itália</t>
        </is>
      </c>
      <c r="E17" s="11" t="inlineStr">
        <is>
          <t>Passeio em Positano</t>
        </is>
      </c>
      <c r="F17" s="11" t="inlineStr">
        <is>
          <t>Turismo</t>
        </is>
      </c>
      <c r="G17" s="13" t="inlineStr">
        <is>
          <t>Bate-volta a partir de Sorrento (barco ou ônibus SITA)</t>
        </is>
      </c>
      <c r="H17" s="11" t="inlineStr">
        <is>
          <t>Sugestão - validar</t>
        </is>
      </c>
    </row>
    <row r="18">
      <c r="A18" s="11" t="inlineStr">
        <is>
          <t>IT-14</t>
        </is>
      </c>
      <c r="B18" s="12" t="n">
        <v>46246</v>
      </c>
      <c r="C18" s="11" t="inlineStr">
        <is>
          <t>Amalfi</t>
        </is>
      </c>
      <c r="D18" s="11" t="inlineStr">
        <is>
          <t>Itália</t>
        </is>
      </c>
      <c r="E18" s="11" t="inlineStr">
        <is>
          <t>Passeio em Amalfi</t>
        </is>
      </c>
      <c r="F18" s="11" t="inlineStr">
        <is>
          <t>Turismo</t>
        </is>
      </c>
      <c r="G18" s="13" t="inlineStr">
        <is>
          <t>Bate-volta a partir de Sorrento (barco recomendado)</t>
        </is>
      </c>
      <c r="H18" s="11" t="inlineStr">
        <is>
          <t>Sugestão - validar</t>
        </is>
      </c>
    </row>
    <row r="19">
      <c r="A19" s="11" t="inlineStr">
        <is>
          <t>IT-15</t>
        </is>
      </c>
      <c r="B19" s="12" t="n">
        <v>46247</v>
      </c>
      <c r="C19" s="11" t="inlineStr">
        <is>
          <t>Capri</t>
        </is>
      </c>
      <c r="D19" s="11" t="inlineStr">
        <is>
          <t>Itália</t>
        </is>
      </c>
      <c r="E19" s="11" t="inlineStr">
        <is>
          <t>Passeio de barco a Capri</t>
        </is>
      </c>
      <c r="F19" s="11" t="inlineStr">
        <is>
          <t>Turismo</t>
        </is>
      </c>
      <c r="G19" s="13" t="inlineStr">
        <is>
          <t>Grotta Azzurra, Marina Piccola, teleférico Monte Solaro</t>
        </is>
      </c>
      <c r="H19" s="11" t="inlineStr">
        <is>
          <t>Sugestão - validar</t>
        </is>
      </c>
    </row>
    <row r="20">
      <c r="A20" s="11" t="inlineStr">
        <is>
          <t>IT-16</t>
        </is>
      </c>
      <c r="B20" s="12" t="n">
        <v>46248</v>
      </c>
      <c r="C20" s="11" t="inlineStr">
        <is>
          <t>Pompeia</t>
        </is>
      </c>
      <c r="D20" s="11" t="inlineStr">
        <is>
          <t>Itália</t>
        </is>
      </c>
      <c r="E20" s="11" t="inlineStr">
        <is>
          <t>Sítio arqueológico de Pompeia/Herculano</t>
        </is>
      </c>
      <c r="F20" s="11" t="inlineStr">
        <is>
          <t>Turismo</t>
        </is>
      </c>
      <c r="G20" s="13" t="inlineStr">
        <is>
          <t>Trem Circumvesuviana a partir de Sorrento</t>
        </is>
      </c>
      <c r="H20" s="11" t="inlineStr">
        <is>
          <t>Sugestão - validar</t>
        </is>
      </c>
    </row>
    <row r="21">
      <c r="A21" s="11" t="inlineStr">
        <is>
          <t>IT-17</t>
        </is>
      </c>
      <c r="B21" s="12" t="n">
        <v>46249</v>
      </c>
      <c r="C21" s="11" t="inlineStr">
        <is>
          <t>Roma</t>
        </is>
      </c>
      <c r="D21" s="11" t="inlineStr">
        <is>
          <t>Itália</t>
        </is>
      </c>
      <c r="E21" s="11" t="inlineStr">
        <is>
          <t>Deslocamento Sorrento/Nápoles -&gt; Roma</t>
        </is>
      </c>
      <c r="F21" s="11" t="inlineStr">
        <is>
          <t>Deslocamento</t>
        </is>
      </c>
      <c r="G21" s="13" t="inlineStr">
        <is>
          <t>Trem regional + Frecciarossa via Nápoles</t>
        </is>
      </c>
      <c r="H21" s="11" t="inlineStr">
        <is>
          <t>Sugestão - validar</t>
        </is>
      </c>
    </row>
    <row r="22">
      <c r="A22" s="11" t="inlineStr">
        <is>
          <t>IT-18</t>
        </is>
      </c>
      <c r="B22" s="12" t="n">
        <v>46250</v>
      </c>
      <c r="C22" s="11" t="inlineStr">
        <is>
          <t>Roma</t>
        </is>
      </c>
      <c r="D22" s="11" t="inlineStr">
        <is>
          <t>Itália</t>
        </is>
      </c>
      <c r="E22" s="11" t="inlineStr">
        <is>
          <t>Coliseu + Fórum Romano + Palatino</t>
        </is>
      </c>
      <c r="F22" s="11" t="inlineStr">
        <is>
          <t>Turismo</t>
        </is>
      </c>
      <c r="G22" s="13" t="inlineStr">
        <is>
          <t>Ingresso combinado - reservar com antecedência</t>
        </is>
      </c>
      <c r="H22" s="11" t="inlineStr">
        <is>
          <t>Sugestão - validar</t>
        </is>
      </c>
    </row>
    <row r="23">
      <c r="A23" s="11" t="inlineStr">
        <is>
          <t>IT-19</t>
        </is>
      </c>
      <c r="B23" s="12" t="n">
        <v>46251</v>
      </c>
      <c r="C23" s="11" t="inlineStr">
        <is>
          <t>Roma</t>
        </is>
      </c>
      <c r="D23" s="11" t="inlineStr">
        <is>
          <t>Itália</t>
        </is>
      </c>
      <c r="E23" s="11" t="inlineStr">
        <is>
          <t>Museus Vaticanos + Capela Sistina + Basílica de São Pedro</t>
        </is>
      </c>
      <c r="F23" s="11" t="inlineStr">
        <is>
          <t>Turismo</t>
        </is>
      </c>
      <c r="G23" s="13" t="inlineStr">
        <is>
          <t>Reservar horário online</t>
        </is>
      </c>
      <c r="H23" s="11" t="inlineStr">
        <is>
          <t>Sugestão - validar</t>
        </is>
      </c>
    </row>
    <row r="24">
      <c r="A24" s="11" t="inlineStr">
        <is>
          <t>IT-20</t>
        </is>
      </c>
      <c r="B24" s="12" t="n">
        <v>46252</v>
      </c>
      <c r="C24" s="11" t="inlineStr">
        <is>
          <t>Florença</t>
        </is>
      </c>
      <c r="D24" s="11" t="inlineStr">
        <is>
          <t>Itália</t>
        </is>
      </c>
      <c r="E24" s="11" t="inlineStr">
        <is>
          <t>Deslocamento Roma -&gt; Florença</t>
        </is>
      </c>
      <c r="F24" s="11" t="inlineStr">
        <is>
          <t>Deslocamento</t>
        </is>
      </c>
      <c r="G24" s="13" t="inlineStr">
        <is>
          <t>Trem de alta velocidade (~1h30)</t>
        </is>
      </c>
      <c r="H24" s="11" t="inlineStr">
        <is>
          <t>Sugestão - validar</t>
        </is>
      </c>
    </row>
    <row r="25">
      <c r="A25" s="11" t="inlineStr">
        <is>
          <t>IT-21</t>
        </is>
      </c>
      <c r="B25" s="12" t="n">
        <v>46253</v>
      </c>
      <c r="C25" s="11" t="inlineStr">
        <is>
          <t>Florença</t>
        </is>
      </c>
      <c r="D25" s="11" t="inlineStr">
        <is>
          <t>Itália</t>
        </is>
      </c>
      <c r="E25" s="11" t="inlineStr">
        <is>
          <t>Duomo di Firenze + Uffizi + Ponte Vecchio</t>
        </is>
      </c>
      <c r="F25" s="11" t="inlineStr">
        <is>
          <t>Turismo</t>
        </is>
      </c>
      <c r="G25" s="13" t="inlineStr">
        <is>
          <t>Reservar Uffizi com antecedência (fila grande)</t>
        </is>
      </c>
      <c r="H25" s="11" t="inlineStr">
        <is>
          <t>Sugestão - validar</t>
        </is>
      </c>
    </row>
    <row r="26">
      <c r="A26" s="11" t="inlineStr">
        <is>
          <t>IT-22</t>
        </is>
      </c>
      <c r="B26" s="12" t="n">
        <v>46254</v>
      </c>
      <c r="C26" s="11" t="inlineStr">
        <is>
          <t>Milão</t>
        </is>
      </c>
      <c r="D26" s="11" t="inlineStr">
        <is>
          <t>Itália</t>
        </is>
      </c>
      <c r="E26" s="11" t="inlineStr">
        <is>
          <t>Deslocamento Florença -&gt; Milão (buffer pré-voo)</t>
        </is>
      </c>
      <c r="F26" s="11" t="inlineStr">
        <is>
          <t>Deslocamento</t>
        </is>
      </c>
      <c r="G26" s="13" t="inlineStr">
        <is>
          <t>Dia-tampão antes do voo para Paris</t>
        </is>
      </c>
      <c r="H26" s="11" t="inlineStr">
        <is>
          <t>Sugestão - validar</t>
        </is>
      </c>
    </row>
    <row r="27">
      <c r="A27" s="11" t="inlineStr">
        <is>
          <t>FR-01</t>
        </is>
      </c>
      <c r="B27" s="12" t="n">
        <v>46255</v>
      </c>
      <c r="C27" s="11" t="inlineStr">
        <is>
          <t>Paris</t>
        </is>
      </c>
      <c r="D27" s="11" t="inlineStr">
        <is>
          <t>França</t>
        </is>
      </c>
      <c r="E27" s="11" t="inlineStr">
        <is>
          <t>Voo Milão -&gt; Paris + check-in</t>
        </is>
      </c>
      <c r="F27" s="11" t="inlineStr">
        <is>
          <t>Deslocamento</t>
        </is>
      </c>
      <c r="G27" s="13" t="inlineStr">
        <is>
          <t>Fim da Itália / chegada à França</t>
        </is>
      </c>
      <c r="H27" s="11" t="inlineStr">
        <is>
          <t>Sugestão - validar</t>
        </is>
      </c>
    </row>
    <row r="28">
      <c r="A28" s="11" t="inlineStr">
        <is>
          <t>FR-02</t>
        </is>
      </c>
      <c r="B28" s="12" t="n">
        <v>46256</v>
      </c>
      <c r="C28" s="11" t="inlineStr">
        <is>
          <t>Paris</t>
        </is>
      </c>
      <c r="D28" s="11" t="inlineStr">
        <is>
          <t>França</t>
        </is>
      </c>
      <c r="E28" s="11" t="inlineStr">
        <is>
          <t>Torre Eiffel + Champs-Élysées + Arco do Triunfo</t>
        </is>
      </c>
      <c r="F28" s="11" t="inlineStr">
        <is>
          <t>Turismo</t>
        </is>
      </c>
      <c r="G28" s="13" t="inlineStr">
        <is>
          <t>Reservar horário da Torre Eiffel online</t>
        </is>
      </c>
      <c r="H28" s="11" t="inlineStr">
        <is>
          <t>Sugestão - validar</t>
        </is>
      </c>
    </row>
    <row r="29">
      <c r="A29" s="11" t="inlineStr">
        <is>
          <t>FR-03</t>
        </is>
      </c>
      <c r="B29" s="12" t="n">
        <v>46257</v>
      </c>
      <c r="C29" s="11" t="inlineStr">
        <is>
          <t>Paris</t>
        </is>
      </c>
      <c r="D29" s="11" t="inlineStr">
        <is>
          <t>França</t>
        </is>
      </c>
      <c r="E29" s="11" t="inlineStr">
        <is>
          <t>Museu do Louvre + Montmartre/Sacré-Cœur</t>
        </is>
      </c>
      <c r="F29" s="11" t="inlineStr">
        <is>
          <t>Turismo</t>
        </is>
      </c>
      <c r="G29" s="13" t="inlineStr">
        <is>
          <t>Reservar Louvre com antecedência</t>
        </is>
      </c>
      <c r="H29" s="11" t="inlineStr">
        <is>
          <t>Sugestão - validar</t>
        </is>
      </c>
    </row>
    <row r="30">
      <c r="A30" s="11" t="inlineStr">
        <is>
          <t>FR-04</t>
        </is>
      </c>
      <c r="B30" s="12" t="n">
        <v>46258</v>
      </c>
      <c r="C30" s="11" t="inlineStr">
        <is>
          <t>Versalhes</t>
        </is>
      </c>
      <c r="D30" s="11" t="inlineStr">
        <is>
          <t>França</t>
        </is>
      </c>
      <c r="E30" s="11" t="inlineStr">
        <is>
          <t>Palácio de Versalhes (bate-volta)</t>
        </is>
      </c>
      <c r="F30" s="11" t="inlineStr">
        <is>
          <t>Turismo</t>
        </is>
      </c>
      <c r="G30" s="13" t="inlineStr">
        <is>
          <t>Trem RER C a partir de Paris (~1h)</t>
        </is>
      </c>
      <c r="H30" s="11" t="inlineStr">
        <is>
          <t>Sugestão - validar</t>
        </is>
      </c>
    </row>
    <row r="31">
      <c r="A31" s="11" t="inlineStr">
        <is>
          <t>LU-01</t>
        </is>
      </c>
      <c r="B31" s="12" t="n">
        <v>46259</v>
      </c>
      <c r="C31" s="11" t="inlineStr">
        <is>
          <t>Luxemburgo</t>
        </is>
      </c>
      <c r="D31" s="11" t="inlineStr">
        <is>
          <t>Luxemburgo</t>
        </is>
      </c>
      <c r="E31" s="11" t="inlineStr">
        <is>
          <t>Deslocamento Paris -&gt; Luxemburgo + city tour</t>
        </is>
      </c>
      <c r="F31" s="11" t="inlineStr">
        <is>
          <t>Deslocamento</t>
        </is>
      </c>
      <c r="G31" s="13" t="inlineStr">
        <is>
          <t>Trem direto (~2h10); Casemates, Palácio Grão-Ducal</t>
        </is>
      </c>
      <c r="H31" s="11" t="inlineStr">
        <is>
          <t>Sugestão - validar</t>
        </is>
      </c>
    </row>
    <row r="32">
      <c r="A32" s="11" t="inlineStr">
        <is>
          <t>DE-01</t>
        </is>
      </c>
      <c r="B32" s="12" t="n">
        <v>46260</v>
      </c>
      <c r="C32" s="11" t="inlineStr">
        <is>
          <t>Colônia</t>
        </is>
      </c>
      <c r="D32" s="11" t="inlineStr">
        <is>
          <t>Alemanha</t>
        </is>
      </c>
      <c r="E32" s="11" t="inlineStr">
        <is>
          <t>Deslocamento Luxemburgo -&gt; Colônia + Catedral de Colônia</t>
        </is>
      </c>
      <c r="F32" s="11" t="inlineStr">
        <is>
          <t>Deslocamento</t>
        </is>
      </c>
      <c r="G32" s="13" t="inlineStr">
        <is>
          <t>Trem (~2h30)</t>
        </is>
      </c>
      <c r="H32" s="11" t="inlineStr">
        <is>
          <t>Sugestão - validar</t>
        </is>
      </c>
    </row>
    <row r="33">
      <c r="A33" s="11" t="inlineStr">
        <is>
          <t>DE-02</t>
        </is>
      </c>
      <c r="B33" s="12" t="n">
        <v>46261</v>
      </c>
      <c r="C33" s="11" t="inlineStr">
        <is>
          <t>Colônia</t>
        </is>
      </c>
      <c r="D33" s="11" t="inlineStr">
        <is>
          <t>Alemanha</t>
        </is>
      </c>
      <c r="E33" s="11" t="inlineStr">
        <is>
          <t>Dia livre / passeio às margens do Reno</t>
        </is>
      </c>
      <c r="F33" s="11" t="inlineStr">
        <is>
          <t>Descanso</t>
        </is>
      </c>
      <c r="G33" s="13" t="inlineStr">
        <is>
          <t>Dia livre em Colônia</t>
        </is>
      </c>
      <c r="H33" s="11" t="inlineStr">
        <is>
          <t>Sugestão - validar</t>
        </is>
      </c>
    </row>
    <row r="34">
      <c r="A34" s="11" t="inlineStr">
        <is>
          <t>DE-03</t>
        </is>
      </c>
      <c r="B34" s="12" t="n">
        <v>46262</v>
      </c>
      <c r="C34" s="11" t="inlineStr">
        <is>
          <t>Berlim</t>
        </is>
      </c>
      <c r="D34" s="11" t="inlineStr">
        <is>
          <t>Alemanha</t>
        </is>
      </c>
      <c r="E34" s="11" t="inlineStr">
        <is>
          <t>Deslocamento Colônia -&gt; Berlim</t>
        </is>
      </c>
      <c r="F34" s="11" t="inlineStr">
        <is>
          <t>Deslocamento</t>
        </is>
      </c>
      <c r="G34" s="13" t="inlineStr">
        <is>
          <t>Trem ICE (~4h30)</t>
        </is>
      </c>
      <c r="H34" s="11" t="inlineStr">
        <is>
          <t>Sugestão - validar</t>
        </is>
      </c>
    </row>
    <row r="35">
      <c r="A35" s="11" t="inlineStr">
        <is>
          <t>DE-04</t>
        </is>
      </c>
      <c r="B35" s="12" t="n">
        <v>46263</v>
      </c>
      <c r="C35" s="11" t="inlineStr">
        <is>
          <t>Berlim</t>
        </is>
      </c>
      <c r="D35" s="11" t="inlineStr">
        <is>
          <t>Alemanha</t>
        </is>
      </c>
      <c r="E35" s="11" t="inlineStr">
        <is>
          <t>Portão de Brandemburgo + East Side Gallery + Museum Island</t>
        </is>
      </c>
      <c r="F35" s="11" t="inlineStr">
        <is>
          <t>Turismo</t>
        </is>
      </c>
      <c r="G35" s="13" t="inlineStr">
        <is>
          <t>Portão e East Side Gallery são gratuitos (área externa)</t>
        </is>
      </c>
      <c r="H35" s="11" t="inlineStr">
        <is>
          <t>Sugestão - validar</t>
        </is>
      </c>
    </row>
    <row r="36">
      <c r="A36" s="11" t="inlineStr">
        <is>
          <t>PL-01</t>
        </is>
      </c>
      <c r="B36" s="12" t="n">
        <v>46264</v>
      </c>
      <c r="C36" s="11" t="inlineStr">
        <is>
          <t>Cracóvia</t>
        </is>
      </c>
      <c r="D36" s="11" t="inlineStr">
        <is>
          <t>Polônia</t>
        </is>
      </c>
      <c r="E36" s="11" t="inlineStr">
        <is>
          <t>Deslocamento Berlim -&gt; Cracóvia</t>
        </is>
      </c>
      <c r="F36" s="11" t="inlineStr">
        <is>
          <t>Deslocamento</t>
        </is>
      </c>
      <c r="G36" s="13" t="inlineStr">
        <is>
          <t>Trem (~7h, via Wroclaw ou EuroCity direto)</t>
        </is>
      </c>
      <c r="H36" s="11" t="inlineStr">
        <is>
          <t>Sugestão - validar</t>
        </is>
      </c>
    </row>
    <row r="37">
      <c r="A37" s="11" t="inlineStr">
        <is>
          <t>PL-02</t>
        </is>
      </c>
      <c r="B37" s="12" t="n">
        <v>46265</v>
      </c>
      <c r="C37" s="11" t="inlineStr">
        <is>
          <t>Cracóvia</t>
        </is>
      </c>
      <c r="D37" s="11" t="inlineStr">
        <is>
          <t>Polônia</t>
        </is>
      </c>
      <c r="E37" s="11" t="inlineStr">
        <is>
          <t>Old Town + Wawel Castle + Kazimierz</t>
        </is>
      </c>
      <c r="F37" s="11" t="inlineStr">
        <is>
          <t>Turismo</t>
        </is>
      </c>
      <c r="G37" s="13" t="inlineStr">
        <is>
          <t>Bairro judeu Kazimierz e Praça do Mercado</t>
        </is>
      </c>
      <c r="H37" s="11" t="inlineStr">
        <is>
          <t>Sugestão - validar</t>
        </is>
      </c>
    </row>
    <row r="38">
      <c r="A38" s="11" t="inlineStr">
        <is>
          <t>PL-03</t>
        </is>
      </c>
      <c r="B38" s="12" t="n">
        <v>46266</v>
      </c>
      <c r="C38" s="11" t="inlineStr">
        <is>
          <t>Auschwitz-Birkenau</t>
        </is>
      </c>
      <c r="D38" s="11" t="inlineStr">
        <is>
          <t>Polônia</t>
        </is>
      </c>
      <c r="E38" s="11" t="inlineStr">
        <is>
          <t>Visita guiada a Auschwitz-Birkenau</t>
        </is>
      </c>
      <c r="F38" s="11" t="inlineStr">
        <is>
          <t>Turismo</t>
        </is>
      </c>
      <c r="G38" s="13" t="inlineStr">
        <is>
          <t>Reservar guia oficial com 1 mês de antecedência</t>
        </is>
      </c>
      <c r="H38" s="11" t="inlineStr">
        <is>
          <t>Sugestão - validar</t>
        </is>
      </c>
    </row>
    <row r="39">
      <c r="A39" s="11" t="inlineStr">
        <is>
          <t>AL-01</t>
        </is>
      </c>
      <c r="B39" s="12" t="n">
        <v>46267</v>
      </c>
      <c r="C39" s="11" t="inlineStr">
        <is>
          <t>Tirana</t>
        </is>
      </c>
      <c r="D39" s="11" t="inlineStr">
        <is>
          <t>Albânia</t>
        </is>
      </c>
      <c r="E39" s="11" t="inlineStr">
        <is>
          <t>Voo Cracóvia -&gt; Tirana + check-in</t>
        </is>
      </c>
      <c r="F39" s="11" t="inlineStr">
        <is>
          <t>Deslocamento</t>
        </is>
      </c>
      <c r="G39" s="13" t="inlineStr">
        <is>
          <t>Voo direto Ryanair/Wizz Air (~1h50)</t>
        </is>
      </c>
      <c r="H39" s="11" t="inlineStr">
        <is>
          <t>Sugestão - validar</t>
        </is>
      </c>
    </row>
    <row r="40">
      <c r="A40" s="11" t="inlineStr">
        <is>
          <t>AL-02</t>
        </is>
      </c>
      <c r="B40" s="12" t="n">
        <v>46268</v>
      </c>
      <c r="C40" s="11" t="inlineStr">
        <is>
          <t>Tirana</t>
        </is>
      </c>
      <c r="D40" s="11" t="inlineStr">
        <is>
          <t>Albânia</t>
        </is>
      </c>
      <c r="E40" s="11" t="inlineStr">
        <is>
          <t>City tour + Bunk'Art + Praça Skanderbeg</t>
        </is>
      </c>
      <c r="F40" s="11" t="inlineStr">
        <is>
          <t>Turismo</t>
        </is>
      </c>
      <c r="G40" s="13" t="inlineStr">
        <is>
          <t>Museu Bunk'Art (bunker da era comunista)</t>
        </is>
      </c>
      <c r="H40" s="11" t="inlineStr">
        <is>
          <t>Sugestão - validar</t>
        </is>
      </c>
    </row>
    <row r="41">
      <c r="A41" s="11" t="inlineStr">
        <is>
          <t>AL-03</t>
        </is>
      </c>
      <c r="B41" s="12" t="n">
        <v>46269</v>
      </c>
      <c r="C41" s="11" t="inlineStr">
        <is>
          <t>Tirana</t>
        </is>
      </c>
      <c r="D41" s="11" t="inlineStr">
        <is>
          <t>Albânia</t>
        </is>
      </c>
      <c r="E41" s="11" t="inlineStr">
        <is>
          <t>Dia livre / compras / voo de volta</t>
        </is>
      </c>
      <c r="F41" s="11" t="inlineStr">
        <is>
          <t>Descanso</t>
        </is>
      </c>
      <c r="G41" s="13" t="inlineStr">
        <is>
          <t>Último dia - conferir horário do voo de retorno</t>
        </is>
      </c>
      <c r="H41" s="11" t="inlineStr">
        <is>
          <t>Sugestão - validar</t>
        </is>
      </c>
    </row>
  </sheetData>
  <autoFilter ref="A4:H41"/>
  <mergeCells count="2">
    <mergeCell ref="A2:H2"/>
    <mergeCell ref="A1:H1"/>
  </mergeCells>
  <conditionalFormatting sqref="H5:H41">
    <cfRule type="cellIs" priority="1" operator="equal" dxfId="0">
      <formula>"Confirmado"</formula>
    </cfRule>
    <cfRule type="cellIs" priority="2" operator="equal" dxfId="1">
      <formula>"Sugestão - validar"</formula>
    </cfRule>
  </conditionalFormatting>
  <dataValidations count="2">
    <dataValidation sqref="H5:H41" showDropDown="0" showInputMessage="0" showErrorMessage="0" allowBlank="1" type="list">
      <formula1>"Confirmado,Sugestão - validar,Concluído,Cancelado"</formula1>
    </dataValidation>
    <dataValidation sqref="F5:F41" showDropDown="0" showInputMessage="0" showErrorMessage="0" allowBlank="1" type="list">
      <formula1>"Turismo,Deslocamento,Descanso"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0" customWidth="1" min="4" max="4"/>
    <col width="12" customWidth="1" min="5" max="5"/>
    <col width="11" customWidth="1" min="6" max="6"/>
    <col width="11" customWidth="1" min="7" max="7"/>
    <col width="20" customWidth="1" min="8" max="8"/>
    <col width="10" customWidth="1" min="9" max="9"/>
  </cols>
  <sheetData>
    <row r="1">
      <c r="A1" s="9" t="inlineStr">
        <is>
          <t>🚗 TRANSPORTES</t>
        </is>
      </c>
    </row>
    <row r="2">
      <c r="A2" s="2" t="inlineStr">
        <is>
          <t>EUROTRIP 2026 — 14 registros</t>
        </is>
      </c>
    </row>
    <row r="4">
      <c r="A4" s="10" t="inlineStr">
        <is>
          <t>ID</t>
        </is>
      </c>
      <c r="B4" s="10" t="inlineStr">
        <is>
          <t>Tipo</t>
        </is>
      </c>
      <c r="C4" s="10" t="inlineStr">
        <is>
          <t>Origem</t>
        </is>
      </c>
      <c r="D4" s="10" t="inlineStr">
        <is>
          <t>Destino</t>
        </is>
      </c>
      <c r="E4" s="10" t="inlineStr">
        <is>
          <t>Data</t>
        </is>
      </c>
      <c r="F4" s="10" t="inlineStr">
        <is>
          <t>Hora Saída</t>
        </is>
      </c>
      <c r="G4" s="10" t="inlineStr">
        <is>
          <t>Hora Chegada</t>
        </is>
      </c>
      <c r="H4" s="10" t="inlineStr">
        <is>
          <t>Status</t>
        </is>
      </c>
      <c r="I4" s="10" t="inlineStr">
        <is>
          <t>Duração</t>
        </is>
      </c>
    </row>
    <row r="5">
      <c r="A5" s="11" t="inlineStr">
        <is>
          <t>TR-01</t>
        </is>
      </c>
      <c r="B5" s="11" t="inlineStr">
        <is>
          <t>Voo</t>
        </is>
      </c>
      <c r="C5" s="11" t="inlineStr">
        <is>
          <t>Brasil</t>
        </is>
      </c>
      <c r="D5" s="11" t="inlineStr">
        <is>
          <t>Milão</t>
        </is>
      </c>
      <c r="E5" s="12" t="n">
        <v>46240</v>
      </c>
      <c r="F5" s="11" t="inlineStr"/>
      <c r="G5" s="11" t="inlineStr"/>
      <c r="H5" s="11" t="inlineStr">
        <is>
          <t>Confirmado</t>
        </is>
      </c>
      <c r="I5" s="11">
        <f>IF(OR(F5="",G5=""),"",TEXT(MOD(G5-F5,1),"[h]\"h\"mm"))</f>
        <v/>
      </c>
    </row>
    <row r="6">
      <c r="A6" s="11" t="inlineStr">
        <is>
          <t>TR-02</t>
        </is>
      </c>
      <c r="B6" s="11" t="inlineStr">
        <is>
          <t>Trem</t>
        </is>
      </c>
      <c r="C6" s="11" t="inlineStr">
        <is>
          <t>Pordenone</t>
        </is>
      </c>
      <c r="D6" s="11" t="inlineStr">
        <is>
          <t>Veneza</t>
        </is>
      </c>
      <c r="E6" s="12" t="n">
        <v>46244</v>
      </c>
      <c r="F6" s="14" t="n">
        <v>0.30625</v>
      </c>
      <c r="G6" s="14" t="n">
        <v>0.3520833333333334</v>
      </c>
      <c r="H6" s="11" t="inlineStr">
        <is>
          <t>Confirmado</t>
        </is>
      </c>
      <c r="I6" s="11">
        <f>IF(OR(F6="",G6=""),"",TEXT(MOD(G6-F6,1),"[h]\"h\"mm"))</f>
        <v/>
      </c>
    </row>
    <row r="7">
      <c r="A7" s="11" t="inlineStr">
        <is>
          <t>TR-03</t>
        </is>
      </c>
      <c r="B7" s="11" t="inlineStr">
        <is>
          <t>Voo</t>
        </is>
      </c>
      <c r="C7" s="11" t="inlineStr">
        <is>
          <t>Veneza</t>
        </is>
      </c>
      <c r="D7" s="11" t="inlineStr">
        <is>
          <t>Nápoles</t>
        </is>
      </c>
      <c r="E7" s="12" t="n">
        <v>46244</v>
      </c>
      <c r="F7" s="14" t="n">
        <v>0.6284722222222222</v>
      </c>
      <c r="G7" s="14" t="n">
        <v>0.6840277777777778</v>
      </c>
      <c r="H7" s="11" t="inlineStr">
        <is>
          <t>Confirmado</t>
        </is>
      </c>
      <c r="I7" s="11">
        <f>IF(OR(F7="",G7=""),"",TEXT(MOD(G7-F7,1),"[h]\"h\"mm"))</f>
        <v/>
      </c>
    </row>
    <row r="8">
      <c r="A8" s="11" t="inlineStr">
        <is>
          <t>TR-04</t>
        </is>
      </c>
      <c r="B8" s="11" t="inlineStr">
        <is>
          <t>Barco</t>
        </is>
      </c>
      <c r="C8" s="11" t="inlineStr">
        <is>
          <t>Sorrento</t>
        </is>
      </c>
      <c r="D8" s="11" t="inlineStr">
        <is>
          <t>Capri (ida e volta)</t>
        </is>
      </c>
      <c r="E8" s="12" t="n">
        <v>46247</v>
      </c>
      <c r="F8" s="14" t="n">
        <v>0.375</v>
      </c>
      <c r="G8" s="14" t="n">
        <v>0.75</v>
      </c>
      <c r="H8" s="11" t="inlineStr">
        <is>
          <t>Sugestão - validar</t>
        </is>
      </c>
      <c r="I8" s="11">
        <f>IF(OR(F8="",G8=""),"",TEXT(MOD(G8-F8,1),"[h]\"h\"mm"))</f>
        <v/>
      </c>
    </row>
    <row r="9">
      <c r="A9" s="11" t="inlineStr">
        <is>
          <t>TR-05</t>
        </is>
      </c>
      <c r="B9" s="11" t="inlineStr">
        <is>
          <t>Trem</t>
        </is>
      </c>
      <c r="C9" s="11" t="inlineStr">
        <is>
          <t>Sorrento/Nápoles</t>
        </is>
      </c>
      <c r="D9" s="11" t="inlineStr">
        <is>
          <t>Roma</t>
        </is>
      </c>
      <c r="E9" s="12" t="n">
        <v>46249</v>
      </c>
      <c r="F9" s="14" t="n">
        <v>0.3333333333333333</v>
      </c>
      <c r="G9" s="14" t="n">
        <v>0.4444444444444444</v>
      </c>
      <c r="H9" s="11" t="inlineStr">
        <is>
          <t>Sugestão - validar</t>
        </is>
      </c>
      <c r="I9" s="11">
        <f>IF(OR(F9="",G9=""),"",TEXT(MOD(G9-F9,1),"[h]\"h\"mm"))</f>
        <v/>
      </c>
    </row>
    <row r="10">
      <c r="A10" s="11" t="inlineStr">
        <is>
          <t>TR-06</t>
        </is>
      </c>
      <c r="B10" s="11" t="inlineStr">
        <is>
          <t>Trem</t>
        </is>
      </c>
      <c r="C10" s="11" t="inlineStr">
        <is>
          <t>Roma</t>
        </is>
      </c>
      <c r="D10" s="11" t="inlineStr">
        <is>
          <t>Florença</t>
        </is>
      </c>
      <c r="E10" s="12" t="n">
        <v>46252</v>
      </c>
      <c r="F10" s="14" t="n">
        <v>0.375</v>
      </c>
      <c r="G10" s="14" t="n">
        <v>0.4375</v>
      </c>
      <c r="H10" s="11" t="inlineStr">
        <is>
          <t>Sugestão - validar</t>
        </is>
      </c>
      <c r="I10" s="11">
        <f>IF(OR(F10="",G10=""),"",TEXT(MOD(G10-F10,1),"[h]\"h\"mm"))</f>
        <v/>
      </c>
    </row>
    <row r="11">
      <c r="A11" s="11" t="inlineStr">
        <is>
          <t>TR-07</t>
        </is>
      </c>
      <c r="B11" s="11" t="inlineStr">
        <is>
          <t>Trem</t>
        </is>
      </c>
      <c r="C11" s="11" t="inlineStr">
        <is>
          <t>Florença</t>
        </is>
      </c>
      <c r="D11" s="11" t="inlineStr">
        <is>
          <t>Milão</t>
        </is>
      </c>
      <c r="E11" s="12" t="n">
        <v>46254</v>
      </c>
      <c r="F11" s="14" t="n">
        <v>0.375</v>
      </c>
      <c r="G11" s="14" t="n">
        <v>0.4513888888888889</v>
      </c>
      <c r="H11" s="11" t="inlineStr">
        <is>
          <t>Sugestão - validar</t>
        </is>
      </c>
      <c r="I11" s="11">
        <f>IF(OR(F11="",G11=""),"",TEXT(MOD(G11-F11,1),"[h]\"h\"mm"))</f>
        <v/>
      </c>
    </row>
    <row r="12">
      <c r="A12" s="11" t="inlineStr">
        <is>
          <t>TR-08</t>
        </is>
      </c>
      <c r="B12" s="11" t="inlineStr">
        <is>
          <t>Voo</t>
        </is>
      </c>
      <c r="C12" s="11" t="inlineStr">
        <is>
          <t>Milão</t>
        </is>
      </c>
      <c r="D12" s="11" t="inlineStr">
        <is>
          <t>Paris</t>
        </is>
      </c>
      <c r="E12" s="12" t="n">
        <v>46255</v>
      </c>
      <c r="F12" s="14" t="n">
        <v>0.75</v>
      </c>
      <c r="G12" s="14" t="n">
        <v>0.8194444444444444</v>
      </c>
      <c r="H12" s="11" t="inlineStr">
        <is>
          <t>Sugestão - validar</t>
        </is>
      </c>
      <c r="I12" s="11">
        <f>IF(OR(F12="",G12=""),"",TEXT(MOD(G12-F12,1),"[h]\"h\"mm"))</f>
        <v/>
      </c>
    </row>
    <row r="13">
      <c r="A13" s="11" t="inlineStr">
        <is>
          <t>TR-09</t>
        </is>
      </c>
      <c r="B13" s="11" t="inlineStr">
        <is>
          <t>Trem</t>
        </is>
      </c>
      <c r="C13" s="11" t="inlineStr">
        <is>
          <t>Paris</t>
        </is>
      </c>
      <c r="D13" s="11" t="inlineStr">
        <is>
          <t>Luxemburgo</t>
        </is>
      </c>
      <c r="E13" s="12" t="n">
        <v>46259</v>
      </c>
      <c r="F13" s="14" t="n">
        <v>0.375</v>
      </c>
      <c r="G13" s="14" t="n">
        <v>0.4652777777777778</v>
      </c>
      <c r="H13" s="11" t="inlineStr">
        <is>
          <t>Sugestão - validar</t>
        </is>
      </c>
      <c r="I13" s="11">
        <f>IF(OR(F13="",G13=""),"",TEXT(MOD(G13-F13,1),"[h]\"h\"mm"))</f>
        <v/>
      </c>
    </row>
    <row r="14">
      <c r="A14" s="11" t="inlineStr">
        <is>
          <t>TR-10</t>
        </is>
      </c>
      <c r="B14" s="11" t="inlineStr">
        <is>
          <t>Trem</t>
        </is>
      </c>
      <c r="C14" s="11" t="inlineStr">
        <is>
          <t>Luxemburgo</t>
        </is>
      </c>
      <c r="D14" s="11" t="inlineStr">
        <is>
          <t>Colônia</t>
        </is>
      </c>
      <c r="E14" s="12" t="n">
        <v>46260</v>
      </c>
      <c r="F14" s="14" t="n">
        <v>0.375</v>
      </c>
      <c r="G14" s="14" t="n">
        <v>0.4791666666666667</v>
      </c>
      <c r="H14" s="11" t="inlineStr">
        <is>
          <t>Sugestão - validar</t>
        </is>
      </c>
      <c r="I14" s="11">
        <f>IF(OR(F14="",G14=""),"",TEXT(MOD(G14-F14,1),"[h]\"h\"mm"))</f>
        <v/>
      </c>
    </row>
    <row r="15">
      <c r="A15" s="11" t="inlineStr">
        <is>
          <t>TR-11</t>
        </is>
      </c>
      <c r="B15" s="11" t="inlineStr">
        <is>
          <t>Trem</t>
        </is>
      </c>
      <c r="C15" s="11" t="inlineStr">
        <is>
          <t>Colônia</t>
        </is>
      </c>
      <c r="D15" s="11" t="inlineStr">
        <is>
          <t>Berlim</t>
        </is>
      </c>
      <c r="E15" s="12" t="n">
        <v>46262</v>
      </c>
      <c r="F15" s="14" t="n">
        <v>0.375</v>
      </c>
      <c r="G15" s="14" t="n">
        <v>0.5625</v>
      </c>
      <c r="H15" s="11" t="inlineStr">
        <is>
          <t>Sugestão - validar</t>
        </is>
      </c>
      <c r="I15" s="11">
        <f>IF(OR(F15="",G15=""),"",TEXT(MOD(G15-F15,1),"[h]\"h\"mm"))</f>
        <v/>
      </c>
    </row>
    <row r="16">
      <c r="A16" s="11" t="inlineStr">
        <is>
          <t>TR-12</t>
        </is>
      </c>
      <c r="B16" s="11" t="inlineStr">
        <is>
          <t>Trem</t>
        </is>
      </c>
      <c r="C16" s="11" t="inlineStr">
        <is>
          <t>Berlim</t>
        </is>
      </c>
      <c r="D16" s="11" t="inlineStr">
        <is>
          <t>Cracóvia</t>
        </is>
      </c>
      <c r="E16" s="12" t="n">
        <v>46264</v>
      </c>
      <c r="F16" s="14" t="n">
        <v>0.3333333333333333</v>
      </c>
      <c r="G16" s="14" t="n">
        <v>0.625</v>
      </c>
      <c r="H16" s="11" t="inlineStr">
        <is>
          <t>Sugestão - validar</t>
        </is>
      </c>
      <c r="I16" s="11">
        <f>IF(OR(F16="",G16=""),"",TEXT(MOD(G16-F16,1),"[h]\"h\"mm"))</f>
        <v/>
      </c>
    </row>
    <row r="17">
      <c r="A17" s="11" t="inlineStr">
        <is>
          <t>TR-13</t>
        </is>
      </c>
      <c r="B17" s="11" t="inlineStr">
        <is>
          <t>Voo</t>
        </is>
      </c>
      <c r="C17" s="11" t="inlineStr">
        <is>
          <t>Cracóvia</t>
        </is>
      </c>
      <c r="D17" s="11" t="inlineStr">
        <is>
          <t>Tirana</t>
        </is>
      </c>
      <c r="E17" s="12" t="n">
        <v>46267</v>
      </c>
      <c r="F17" s="14" t="n">
        <v>0.2361111111111111</v>
      </c>
      <c r="G17" s="14" t="n">
        <v>0.3125</v>
      </c>
      <c r="H17" s="11" t="inlineStr">
        <is>
          <t>Sugestão - validar</t>
        </is>
      </c>
      <c r="I17" s="11">
        <f>IF(OR(F17="",G17=""),"",TEXT(MOD(G17-F17,1),"[h]\"h\"mm"))</f>
        <v/>
      </c>
    </row>
    <row r="18">
      <c r="A18" s="11" t="inlineStr">
        <is>
          <t>TR-14</t>
        </is>
      </c>
      <c r="B18" s="11" t="inlineStr">
        <is>
          <t>Voo</t>
        </is>
      </c>
      <c r="C18" s="11" t="inlineStr">
        <is>
          <t>Tirana</t>
        </is>
      </c>
      <c r="D18" s="11" t="inlineStr">
        <is>
          <t>Brasil</t>
        </is>
      </c>
      <c r="E18" s="12" t="n">
        <v>46269</v>
      </c>
      <c r="F18" s="14" t="n">
        <v>0.9583333333333334</v>
      </c>
      <c r="G18" s="11" t="inlineStr"/>
      <c r="H18" s="11" t="inlineStr">
        <is>
          <t>Sugestão - validar</t>
        </is>
      </c>
      <c r="I18" s="11">
        <f>IF(OR(F18="",G18=""),"",TEXT(MOD(G18-F18,1),"[h]\"h\"mm"))</f>
        <v/>
      </c>
    </row>
  </sheetData>
  <autoFilter ref="A4:I18"/>
  <mergeCells count="2">
    <mergeCell ref="A1:I1"/>
    <mergeCell ref="A2:I2"/>
  </mergeCells>
  <dataValidations count="2">
    <dataValidation sqref="B5:B18" showDropDown="0" showInputMessage="0" showErrorMessage="0" allowBlank="1" type="list">
      <formula1>"Trem,Voo,Carro,Barco,Ônibus"</formula1>
    </dataValidation>
    <dataValidation sqref="H5:H18" showDropDown="0" showInputMessage="0" showErrorMessage="0" allowBlank="1" type="list">
      <formula1>"Confirmado,Sugestão - validar,Comprado,Cancelado"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2" customWidth="1" min="4" max="4"/>
    <col width="12" customWidth="1" min="5" max="5"/>
    <col width="14" customWidth="1" min="6" max="6"/>
    <col width="45" customWidth="1" min="7" max="7"/>
    <col width="10" customWidth="1" min="8" max="8"/>
  </cols>
  <sheetData>
    <row r="1">
      <c r="A1" s="9" t="inlineStr">
        <is>
          <t>🏨 HOSPEDAGEM</t>
        </is>
      </c>
    </row>
    <row r="2">
      <c r="A2" s="2" t="inlineStr">
        <is>
          <t>EUROTRIP 2026 — 12 registros</t>
        </is>
      </c>
    </row>
    <row r="4">
      <c r="A4" s="10" t="inlineStr">
        <is>
          <t>ID</t>
        </is>
      </c>
      <c r="B4" s="10" t="inlineStr">
        <is>
          <t>Cidade</t>
        </is>
      </c>
      <c r="C4" s="10" t="inlineStr">
        <is>
          <t>Nome</t>
        </is>
      </c>
      <c r="D4" s="10" t="inlineStr">
        <is>
          <t>Check-in</t>
        </is>
      </c>
      <c r="E4" s="10" t="inlineStr">
        <is>
          <t>Check-out</t>
        </is>
      </c>
      <c r="F4" s="10" t="inlineStr">
        <is>
          <t>Horário Check-in</t>
        </is>
      </c>
      <c r="G4" s="10" t="inlineStr">
        <is>
          <t>Observações</t>
        </is>
      </c>
      <c r="H4" s="15" t="inlineStr">
        <is>
          <t>Noites</t>
        </is>
      </c>
    </row>
    <row r="5">
      <c r="A5" s="11" t="inlineStr">
        <is>
          <t>H-01</t>
        </is>
      </c>
      <c r="B5" s="11" t="inlineStr">
        <is>
          <t>Milão</t>
        </is>
      </c>
      <c r="C5" s="11" t="inlineStr">
        <is>
          <t>A definir</t>
        </is>
      </c>
      <c r="D5" s="12" t="n">
        <v>46240</v>
      </c>
      <c r="E5" s="12" t="n">
        <v>46242</v>
      </c>
      <c r="F5" s="11" t="inlineStr">
        <is>
          <t>15:00</t>
        </is>
      </c>
      <c r="G5" s="13" t="inlineStr">
        <is>
          <t>2 noites - próximo ao Duomo/metrô recomendado</t>
        </is>
      </c>
      <c r="H5" s="4">
        <f>E5-D5</f>
        <v/>
      </c>
    </row>
    <row r="6">
      <c r="A6" s="11" t="inlineStr">
        <is>
          <t>H-02</t>
        </is>
      </c>
      <c r="B6" s="11" t="inlineStr">
        <is>
          <t>Lago di Garda</t>
        </is>
      </c>
      <c r="C6" s="11" t="inlineStr">
        <is>
          <t>A definir</t>
        </is>
      </c>
      <c r="D6" s="12" t="n">
        <v>46242</v>
      </c>
      <c r="E6" s="12" t="n">
        <v>46244</v>
      </c>
      <c r="F6" s="11" t="inlineStr">
        <is>
          <t>15:00</t>
        </is>
      </c>
      <c r="G6" s="13" t="inlineStr">
        <is>
          <t>2 noites - base em Pordenone/Peschiera</t>
        </is>
      </c>
      <c r="H6" s="4">
        <f>E6-D6</f>
        <v/>
      </c>
    </row>
    <row r="7">
      <c r="A7" s="11" t="inlineStr">
        <is>
          <t>H-03</t>
        </is>
      </c>
      <c r="B7" s="11" t="inlineStr">
        <is>
          <t>Sorrento</t>
        </is>
      </c>
      <c r="C7" s="11" t="inlineStr">
        <is>
          <t>Hotel Sorrento Coast Suites</t>
        </is>
      </c>
      <c r="D7" s="12" t="n">
        <v>46244</v>
      </c>
      <c r="E7" s="12" t="n">
        <v>46249</v>
      </c>
      <c r="F7" s="11" t="inlineStr">
        <is>
          <t>14:00</t>
        </is>
      </c>
      <c r="G7" s="13" t="inlineStr">
        <is>
          <t>5 noites - base p/ Positano, Amalfi, Capri, Pompeia (confirmado)</t>
        </is>
      </c>
      <c r="H7" s="4">
        <f>E7-D7</f>
        <v/>
      </c>
    </row>
    <row r="8">
      <c r="A8" s="11" t="inlineStr">
        <is>
          <t>H-04</t>
        </is>
      </c>
      <c r="B8" s="11" t="inlineStr">
        <is>
          <t>Roma</t>
        </is>
      </c>
      <c r="C8" s="11" t="inlineStr">
        <is>
          <t>A definir</t>
        </is>
      </c>
      <c r="D8" s="12" t="n">
        <v>46249</v>
      </c>
      <c r="E8" s="12" t="n">
        <v>46252</v>
      </c>
      <c r="F8" s="11" t="inlineStr">
        <is>
          <t>15:00</t>
        </is>
      </c>
      <c r="G8" s="13" t="inlineStr">
        <is>
          <t>3 noites - próximo a estação Termini recomendado</t>
        </is>
      </c>
      <c r="H8" s="4">
        <f>E8-D8</f>
        <v/>
      </c>
    </row>
    <row r="9">
      <c r="A9" s="11" t="inlineStr">
        <is>
          <t>H-05</t>
        </is>
      </c>
      <c r="B9" s="11" t="inlineStr">
        <is>
          <t>Florença</t>
        </is>
      </c>
      <c r="C9" s="11" t="inlineStr">
        <is>
          <t>A definir</t>
        </is>
      </c>
      <c r="D9" s="12" t="n">
        <v>46252</v>
      </c>
      <c r="E9" s="12" t="n">
        <v>46254</v>
      </c>
      <c r="F9" s="11" t="inlineStr">
        <is>
          <t>15:00</t>
        </is>
      </c>
      <c r="G9" s="13" t="inlineStr">
        <is>
          <t>2 noites - próximo ao centro histórico</t>
        </is>
      </c>
      <c r="H9" s="4">
        <f>E9-D9</f>
        <v/>
      </c>
    </row>
    <row r="10">
      <c r="A10" s="11" t="inlineStr">
        <is>
          <t>H-06</t>
        </is>
      </c>
      <c r="B10" s="11" t="inlineStr">
        <is>
          <t>Milão</t>
        </is>
      </c>
      <c r="C10" s="11" t="inlineStr">
        <is>
          <t>A definir (hotel aeroporto/buffer)</t>
        </is>
      </c>
      <c r="D10" s="12" t="n">
        <v>46254</v>
      </c>
      <c r="E10" s="12" t="n">
        <v>46255</v>
      </c>
      <c r="F10" s="11" t="inlineStr">
        <is>
          <t>15:00</t>
        </is>
      </c>
      <c r="G10" s="13" t="inlineStr">
        <is>
          <t>1 noite - dia-tampão antes do voo p/ Paris</t>
        </is>
      </c>
      <c r="H10" s="4">
        <f>E10-D10</f>
        <v/>
      </c>
    </row>
    <row r="11">
      <c r="A11" s="11" t="inlineStr">
        <is>
          <t>H-07</t>
        </is>
      </c>
      <c r="B11" s="11" t="inlineStr">
        <is>
          <t>Paris</t>
        </is>
      </c>
      <c r="C11" s="11" t="inlineStr">
        <is>
          <t>A definir</t>
        </is>
      </c>
      <c r="D11" s="12" t="n">
        <v>46255</v>
      </c>
      <c r="E11" s="12" t="n">
        <v>46259</v>
      </c>
      <c r="F11" s="11" t="inlineStr">
        <is>
          <t>15:00</t>
        </is>
      </c>
      <c r="G11" s="13" t="inlineStr">
        <is>
          <t>4 noites</t>
        </is>
      </c>
      <c r="H11" s="4">
        <f>E11-D11</f>
        <v/>
      </c>
    </row>
    <row r="12">
      <c r="A12" s="11" t="inlineStr">
        <is>
          <t>H-08</t>
        </is>
      </c>
      <c r="B12" s="11" t="inlineStr">
        <is>
          <t>Luxemburgo</t>
        </is>
      </c>
      <c r="C12" s="11" t="inlineStr">
        <is>
          <t>A definir</t>
        </is>
      </c>
      <c r="D12" s="12" t="n">
        <v>46259</v>
      </c>
      <c r="E12" s="12" t="n">
        <v>46260</v>
      </c>
      <c r="F12" s="11" t="inlineStr">
        <is>
          <t>15:00</t>
        </is>
      </c>
      <c r="G12" s="13" t="inlineStr">
        <is>
          <t>1 noite</t>
        </is>
      </c>
      <c r="H12" s="4">
        <f>E12-D12</f>
        <v/>
      </c>
    </row>
    <row r="13">
      <c r="A13" s="11" t="inlineStr">
        <is>
          <t>H-09</t>
        </is>
      </c>
      <c r="B13" s="11" t="inlineStr">
        <is>
          <t>Colônia</t>
        </is>
      </c>
      <c r="C13" s="11" t="inlineStr">
        <is>
          <t>A definir</t>
        </is>
      </c>
      <c r="D13" s="12" t="n">
        <v>46260</v>
      </c>
      <c r="E13" s="12" t="n">
        <v>46262</v>
      </c>
      <c r="F13" s="11" t="inlineStr">
        <is>
          <t>15:00</t>
        </is>
      </c>
      <c r="G13" s="13" t="inlineStr">
        <is>
          <t>2 noites</t>
        </is>
      </c>
      <c r="H13" s="4">
        <f>E13-D13</f>
        <v/>
      </c>
    </row>
    <row r="14">
      <c r="A14" s="11" t="inlineStr">
        <is>
          <t>H-10</t>
        </is>
      </c>
      <c r="B14" s="11" t="inlineStr">
        <is>
          <t>Berlim</t>
        </is>
      </c>
      <c r="C14" s="11" t="inlineStr">
        <is>
          <t>A definir</t>
        </is>
      </c>
      <c r="D14" s="12" t="n">
        <v>46262</v>
      </c>
      <c r="E14" s="12" t="n">
        <v>46264</v>
      </c>
      <c r="F14" s="11" t="inlineStr">
        <is>
          <t>15:00</t>
        </is>
      </c>
      <c r="G14" s="13" t="inlineStr">
        <is>
          <t>2 noites</t>
        </is>
      </c>
      <c r="H14" s="4">
        <f>E14-D14</f>
        <v/>
      </c>
    </row>
    <row r="15">
      <c r="A15" s="11" t="inlineStr">
        <is>
          <t>H-11</t>
        </is>
      </c>
      <c r="B15" s="11" t="inlineStr">
        <is>
          <t>Cracóvia</t>
        </is>
      </c>
      <c r="C15" s="11" t="inlineStr">
        <is>
          <t>A definir</t>
        </is>
      </c>
      <c r="D15" s="12" t="n">
        <v>46264</v>
      </c>
      <c r="E15" s="12" t="n">
        <v>46267</v>
      </c>
      <c r="F15" s="11" t="inlineStr">
        <is>
          <t>15:00</t>
        </is>
      </c>
      <c r="G15" s="13" t="inlineStr">
        <is>
          <t>3 noites</t>
        </is>
      </c>
      <c r="H15" s="4">
        <f>E15-D15</f>
        <v/>
      </c>
    </row>
    <row r="16">
      <c r="A16" s="11" t="inlineStr">
        <is>
          <t>H-12</t>
        </is>
      </c>
      <c r="B16" s="11" t="inlineStr">
        <is>
          <t>Tirana</t>
        </is>
      </c>
      <c r="C16" s="11" t="inlineStr">
        <is>
          <t>A definir</t>
        </is>
      </c>
      <c r="D16" s="12" t="n">
        <v>46267</v>
      </c>
      <c r="E16" s="12" t="n">
        <v>46269</v>
      </c>
      <c r="F16" s="11" t="inlineStr">
        <is>
          <t>14:00</t>
        </is>
      </c>
      <c r="G16" s="13" t="inlineStr">
        <is>
          <t>2 noites - último trecho da viagem</t>
        </is>
      </c>
      <c r="H16" s="4">
        <f>E16-D16</f>
        <v/>
      </c>
    </row>
  </sheetData>
  <autoFilter ref="A4:G16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14" customWidth="1" min="8" max="8"/>
  </cols>
  <sheetData>
    <row r="1">
      <c r="A1" s="9" t="inlineStr">
        <is>
          <t>🎟️ ATRAÇÕES</t>
        </is>
      </c>
    </row>
    <row r="2">
      <c r="A2" s="2" t="inlineStr">
        <is>
          <t>EUROTRIP 2026 — 22 registros</t>
        </is>
      </c>
    </row>
    <row r="4">
      <c r="A4" s="10" t="inlineStr">
        <is>
          <t>ID</t>
        </is>
      </c>
      <c r="B4" s="10" t="inlineStr">
        <is>
          <t>Nome</t>
        </is>
      </c>
      <c r="C4" s="10" t="inlineStr">
        <is>
          <t>Cidade</t>
        </is>
      </c>
      <c r="D4" s="10" t="inlineStr">
        <is>
          <t>Tipo</t>
        </is>
      </c>
      <c r="E4" s="10" t="inlineStr">
        <is>
          <t>Necessita Ingresso</t>
        </is>
      </c>
      <c r="F4" s="10" t="inlineStr">
        <is>
          <t>Preço (EUR)</t>
        </is>
      </c>
      <c r="G4" s="10" t="inlineStr">
        <is>
          <t>Horário Marcado</t>
        </is>
      </c>
      <c r="H4" s="10" t="inlineStr">
        <is>
          <t>Duração Estimada</t>
        </is>
      </c>
    </row>
    <row r="5">
      <c r="A5" s="11" t="inlineStr">
        <is>
          <t>AT-01</t>
        </is>
      </c>
      <c r="B5" s="11" t="inlineStr">
        <is>
          <t>Duomo di Milano + terraço</t>
        </is>
      </c>
      <c r="C5" s="11" t="inlineStr">
        <is>
          <t>Milão</t>
        </is>
      </c>
      <c r="D5" s="11" t="inlineStr">
        <is>
          <t>Ponto turístico</t>
        </is>
      </c>
      <c r="E5" s="11" t="inlineStr">
        <is>
          <t>Sim</t>
        </is>
      </c>
      <c r="F5" s="11" t="inlineStr">
        <is>
          <t>20 (estimado)</t>
        </is>
      </c>
      <c r="G5" s="11" t="inlineStr">
        <is>
          <t>A definir</t>
        </is>
      </c>
      <c r="H5" s="11" t="inlineStr">
        <is>
          <t>1h30</t>
        </is>
      </c>
    </row>
    <row r="6">
      <c r="A6" s="11" t="inlineStr">
        <is>
          <t>AT-02</t>
        </is>
      </c>
      <c r="B6" s="11" t="inlineStr">
        <is>
          <t>Galleria Vittorio Emanuele II</t>
        </is>
      </c>
      <c r="C6" s="11" t="inlineStr">
        <is>
          <t>Milão</t>
        </is>
      </c>
      <c r="D6" s="11" t="inlineStr">
        <is>
          <t>Ponto turístico</t>
        </is>
      </c>
      <c r="E6" s="11" t="inlineStr">
        <is>
          <t>Não</t>
        </is>
      </c>
      <c r="F6" s="11" t="inlineStr">
        <is>
          <t>0</t>
        </is>
      </c>
      <c r="G6" s="11" t="inlineStr">
        <is>
          <t>-</t>
        </is>
      </c>
      <c r="H6" s="11" t="inlineStr">
        <is>
          <t>0h30</t>
        </is>
      </c>
    </row>
    <row r="7">
      <c r="A7" s="11" t="inlineStr">
        <is>
          <t>AT-03</t>
        </is>
      </c>
      <c r="B7" s="11" t="inlineStr">
        <is>
          <t>Santa Maria delle Grazie (A Última Ceia)</t>
        </is>
      </c>
      <c r="C7" s="11" t="inlineStr">
        <is>
          <t>Milão</t>
        </is>
      </c>
      <c r="D7" s="11" t="inlineStr">
        <is>
          <t>Museu</t>
        </is>
      </c>
      <c r="E7" s="11" t="inlineStr">
        <is>
          <t>Sim</t>
        </is>
      </c>
      <c r="F7" s="11" t="inlineStr">
        <is>
          <t>15</t>
        </is>
      </c>
      <c r="G7" s="11" t="inlineStr">
        <is>
          <t>Com horário marcado</t>
        </is>
      </c>
      <c r="H7" s="11" t="inlineStr">
        <is>
          <t>0h30</t>
        </is>
      </c>
    </row>
    <row r="8">
      <c r="A8" s="11" t="inlineStr">
        <is>
          <t>AT-04</t>
        </is>
      </c>
      <c r="B8" s="11" t="inlineStr">
        <is>
          <t>Castello Sforzesco (pátio)</t>
        </is>
      </c>
      <c r="C8" s="11" t="inlineStr">
        <is>
          <t>Milão</t>
        </is>
      </c>
      <c r="D8" s="11" t="inlineStr">
        <is>
          <t>Ponto turístico</t>
        </is>
      </c>
      <c r="E8" s="11" t="inlineStr">
        <is>
          <t>Não</t>
        </is>
      </c>
      <c r="F8" s="11" t="inlineStr">
        <is>
          <t>0</t>
        </is>
      </c>
      <c r="G8" s="11" t="inlineStr">
        <is>
          <t>-</t>
        </is>
      </c>
      <c r="H8" s="11" t="inlineStr">
        <is>
          <t>1h00</t>
        </is>
      </c>
    </row>
    <row r="9">
      <c r="A9" s="11" t="inlineStr">
        <is>
          <t>AT-05</t>
        </is>
      </c>
      <c r="B9" s="11" t="inlineStr">
        <is>
          <t>Museu Leonardo da Vinci</t>
        </is>
      </c>
      <c r="C9" s="11" t="inlineStr">
        <is>
          <t>Milão</t>
        </is>
      </c>
      <c r="D9" s="11" t="inlineStr">
        <is>
          <t>Museu</t>
        </is>
      </c>
      <c r="E9" s="11" t="inlineStr">
        <is>
          <t>Sim</t>
        </is>
      </c>
      <c r="F9" s="11" t="inlineStr">
        <is>
          <t>10</t>
        </is>
      </c>
      <c r="G9" s="11" t="inlineStr">
        <is>
          <t>A definir</t>
        </is>
      </c>
      <c r="H9" s="11" t="inlineStr">
        <is>
          <t>2h00</t>
        </is>
      </c>
    </row>
    <row r="10">
      <c r="A10" s="11" t="inlineStr">
        <is>
          <t>AT-06</t>
        </is>
      </c>
      <c r="B10" s="11" t="inlineStr">
        <is>
          <t>Positano (passeio)</t>
        </is>
      </c>
      <c r="C10" s="11" t="inlineStr">
        <is>
          <t>Positano</t>
        </is>
      </c>
      <c r="D10" s="11" t="inlineStr">
        <is>
          <t>Passeio</t>
        </is>
      </c>
      <c r="E10" s="11" t="inlineStr">
        <is>
          <t>Não</t>
        </is>
      </c>
      <c r="F10" s="11" t="inlineStr">
        <is>
          <t>0 (transporte à parte)</t>
        </is>
      </c>
      <c r="G10" s="11" t="inlineStr">
        <is>
          <t>-</t>
        </is>
      </c>
      <c r="H10" s="11" t="inlineStr">
        <is>
          <t>4h00</t>
        </is>
      </c>
    </row>
    <row r="11">
      <c r="A11" s="11" t="inlineStr">
        <is>
          <t>AT-07</t>
        </is>
      </c>
      <c r="B11" s="11" t="inlineStr">
        <is>
          <t>Amalfi (passeio)</t>
        </is>
      </c>
      <c r="C11" s="11" t="inlineStr">
        <is>
          <t>Amalfi</t>
        </is>
      </c>
      <c r="D11" s="11" t="inlineStr">
        <is>
          <t>Passeio</t>
        </is>
      </c>
      <c r="E11" s="11" t="inlineStr">
        <is>
          <t>Não</t>
        </is>
      </c>
      <c r="F11" s="11" t="inlineStr">
        <is>
          <t>0 (transporte à parte)</t>
        </is>
      </c>
      <c r="G11" s="11" t="inlineStr">
        <is>
          <t>-</t>
        </is>
      </c>
      <c r="H11" s="11" t="inlineStr">
        <is>
          <t>4h00</t>
        </is>
      </c>
    </row>
    <row r="12">
      <c r="A12" s="11" t="inlineStr">
        <is>
          <t>AT-08</t>
        </is>
      </c>
      <c r="B12" s="11" t="inlineStr">
        <is>
          <t>Capri - barco + funicular</t>
        </is>
      </c>
      <c r="C12" s="11" t="inlineStr">
        <is>
          <t>Capri</t>
        </is>
      </c>
      <c r="D12" s="11" t="inlineStr">
        <is>
          <t>Passeio</t>
        </is>
      </c>
      <c r="E12" s="11" t="inlineStr">
        <is>
          <t>Sim</t>
        </is>
      </c>
      <c r="F12" s="11" t="inlineStr">
        <is>
          <t>40 (estimado)</t>
        </is>
      </c>
      <c r="G12" s="11" t="inlineStr">
        <is>
          <t>A definir</t>
        </is>
      </c>
      <c r="H12" s="11" t="inlineStr">
        <is>
          <t>8h00</t>
        </is>
      </c>
    </row>
    <row r="13">
      <c r="A13" s="11" t="inlineStr">
        <is>
          <t>AT-09</t>
        </is>
      </c>
      <c r="B13" s="11" t="inlineStr">
        <is>
          <t>Pompeia (sítio arqueológico)</t>
        </is>
      </c>
      <c r="C13" s="11" t="inlineStr">
        <is>
          <t>Pompeia</t>
        </is>
      </c>
      <c r="D13" s="11" t="inlineStr">
        <is>
          <t>Museu</t>
        </is>
      </c>
      <c r="E13" s="11" t="inlineStr">
        <is>
          <t>Sim</t>
        </is>
      </c>
      <c r="F13" s="11" t="inlineStr">
        <is>
          <t>18 (estimado)</t>
        </is>
      </c>
      <c r="G13" s="11" t="inlineStr">
        <is>
          <t>A definir</t>
        </is>
      </c>
      <c r="H13" s="11" t="inlineStr">
        <is>
          <t>3h00</t>
        </is>
      </c>
    </row>
    <row r="14">
      <c r="A14" s="11" t="inlineStr">
        <is>
          <t>AT-10</t>
        </is>
      </c>
      <c r="B14" s="11" t="inlineStr">
        <is>
          <t>Coliseu + Fórum Romano + Palatino</t>
        </is>
      </c>
      <c r="C14" s="11" t="inlineStr">
        <is>
          <t>Roma</t>
        </is>
      </c>
      <c r="D14" s="11" t="inlineStr">
        <is>
          <t>Ponto turístico</t>
        </is>
      </c>
      <c r="E14" s="11" t="inlineStr">
        <is>
          <t>Sim</t>
        </is>
      </c>
      <c r="F14" s="11" t="inlineStr">
        <is>
          <t>18</t>
        </is>
      </c>
      <c r="G14" s="11" t="inlineStr">
        <is>
          <t>A definir</t>
        </is>
      </c>
      <c r="H14" s="11" t="inlineStr">
        <is>
          <t>3h00</t>
        </is>
      </c>
    </row>
    <row r="15">
      <c r="A15" s="11" t="inlineStr">
        <is>
          <t>AT-11</t>
        </is>
      </c>
      <c r="B15" s="11" t="inlineStr">
        <is>
          <t>Museus Vaticanos + Capela Sistina</t>
        </is>
      </c>
      <c r="C15" s="11" t="inlineStr">
        <is>
          <t>Roma</t>
        </is>
      </c>
      <c r="D15" s="11" t="inlineStr">
        <is>
          <t>Museu</t>
        </is>
      </c>
      <c r="E15" s="11" t="inlineStr">
        <is>
          <t>Sim</t>
        </is>
      </c>
      <c r="F15" s="11" t="inlineStr">
        <is>
          <t>20</t>
        </is>
      </c>
      <c r="G15" s="11" t="inlineStr">
        <is>
          <t>A definir (reservar online)</t>
        </is>
      </c>
      <c r="H15" s="11" t="inlineStr">
        <is>
          <t>3h00</t>
        </is>
      </c>
    </row>
    <row r="16">
      <c r="A16" s="11" t="inlineStr">
        <is>
          <t>AT-12</t>
        </is>
      </c>
      <c r="B16" s="11" t="inlineStr">
        <is>
          <t>Uffizi + Duomo Firenze</t>
        </is>
      </c>
      <c r="C16" s="11" t="inlineStr">
        <is>
          <t>Florença</t>
        </is>
      </c>
      <c r="D16" s="11" t="inlineStr">
        <is>
          <t>Museu</t>
        </is>
      </c>
      <c r="E16" s="11" t="inlineStr">
        <is>
          <t>Sim</t>
        </is>
      </c>
      <c r="F16" s="11" t="inlineStr">
        <is>
          <t>25 (estimado)</t>
        </is>
      </c>
      <c r="G16" s="11" t="inlineStr">
        <is>
          <t>A definir (reservar online)</t>
        </is>
      </c>
      <c r="H16" s="11" t="inlineStr">
        <is>
          <t>3h00</t>
        </is>
      </c>
    </row>
    <row r="17">
      <c r="A17" s="11" t="inlineStr">
        <is>
          <t>AT-13</t>
        </is>
      </c>
      <c r="B17" s="11" t="inlineStr">
        <is>
          <t>Torre Eiffel (cume)</t>
        </is>
      </c>
      <c r="C17" s="11" t="inlineStr">
        <is>
          <t>Paris</t>
        </is>
      </c>
      <c r="D17" s="11" t="inlineStr">
        <is>
          <t>Ponto turístico</t>
        </is>
      </c>
      <c r="E17" s="11" t="inlineStr">
        <is>
          <t>Sim</t>
        </is>
      </c>
      <c r="F17" s="11" t="inlineStr">
        <is>
          <t>36,70</t>
        </is>
      </c>
      <c r="G17" s="11" t="inlineStr">
        <is>
          <t>A definir (reservar online)</t>
        </is>
      </c>
      <c r="H17" s="11" t="inlineStr">
        <is>
          <t>2h00</t>
        </is>
      </c>
    </row>
    <row r="18">
      <c r="A18" s="11" t="inlineStr">
        <is>
          <t>AT-14</t>
        </is>
      </c>
      <c r="B18" s="11" t="inlineStr">
        <is>
          <t>Museu do Louvre</t>
        </is>
      </c>
      <c r="C18" s="11" t="inlineStr">
        <is>
          <t>Paris</t>
        </is>
      </c>
      <c r="D18" s="11" t="inlineStr">
        <is>
          <t>Museu</t>
        </is>
      </c>
      <c r="E18" s="11" t="inlineStr">
        <is>
          <t>Sim</t>
        </is>
      </c>
      <c r="F18" s="11" t="inlineStr">
        <is>
          <t>22 (estimado)</t>
        </is>
      </c>
      <c r="G18" s="11" t="inlineStr">
        <is>
          <t>A definir (reservar online)</t>
        </is>
      </c>
      <c r="H18" s="11" t="inlineStr">
        <is>
          <t>3h00</t>
        </is>
      </c>
    </row>
    <row r="19">
      <c r="A19" s="11" t="inlineStr">
        <is>
          <t>AT-15</t>
        </is>
      </c>
      <c r="B19" s="11" t="inlineStr">
        <is>
          <t>Palácio de Versalhes</t>
        </is>
      </c>
      <c r="C19" s="11" t="inlineStr">
        <is>
          <t>Versalhes</t>
        </is>
      </c>
      <c r="D19" s="11" t="inlineStr">
        <is>
          <t>Ponto turístico</t>
        </is>
      </c>
      <c r="E19" s="11" t="inlineStr">
        <is>
          <t>Sim</t>
        </is>
      </c>
      <c r="F19" s="11" t="inlineStr">
        <is>
          <t>21 (estimado)</t>
        </is>
      </c>
      <c r="G19" s="11" t="inlineStr">
        <is>
          <t>A definir</t>
        </is>
      </c>
      <c r="H19" s="11" t="inlineStr">
        <is>
          <t>4h00</t>
        </is>
      </c>
    </row>
    <row r="20">
      <c r="A20" s="11" t="inlineStr">
        <is>
          <t>AT-16</t>
        </is>
      </c>
      <c r="B20" s="11" t="inlineStr">
        <is>
          <t>Casemates + city tour</t>
        </is>
      </c>
      <c r="C20" s="11" t="inlineStr">
        <is>
          <t>Luxemburgo</t>
        </is>
      </c>
      <c r="D20" s="11" t="inlineStr">
        <is>
          <t>Ponto turístico</t>
        </is>
      </c>
      <c r="E20" s="11" t="inlineStr">
        <is>
          <t>Sim</t>
        </is>
      </c>
      <c r="F20" s="11" t="inlineStr">
        <is>
          <t>7 (estimado)</t>
        </is>
      </c>
      <c r="G20" s="11" t="inlineStr">
        <is>
          <t>-</t>
        </is>
      </c>
      <c r="H20" s="11" t="inlineStr">
        <is>
          <t>3h00</t>
        </is>
      </c>
    </row>
    <row r="21">
      <c r="A21" s="11" t="inlineStr">
        <is>
          <t>AT-17</t>
        </is>
      </c>
      <c r="B21" s="11" t="inlineStr">
        <is>
          <t>Catedral de Colônia</t>
        </is>
      </c>
      <c r="C21" s="11" t="inlineStr">
        <is>
          <t>Colônia</t>
        </is>
      </c>
      <c r="D21" s="11" t="inlineStr">
        <is>
          <t>Ponto turístico</t>
        </is>
      </c>
      <c r="E21" s="11" t="inlineStr">
        <is>
          <t>Não (torre paga à parte)</t>
        </is>
      </c>
      <c r="F21" s="11" t="inlineStr">
        <is>
          <t>0 / 6 (torre)</t>
        </is>
      </c>
      <c r="G21" s="11" t="inlineStr">
        <is>
          <t>-</t>
        </is>
      </c>
      <c r="H21" s="11" t="inlineStr">
        <is>
          <t>1h00</t>
        </is>
      </c>
    </row>
    <row r="22">
      <c r="A22" s="11" t="inlineStr">
        <is>
          <t>AT-18</t>
        </is>
      </c>
      <c r="B22" s="11" t="inlineStr">
        <is>
          <t>Portão de Brandemburgo + East Side Gallery</t>
        </is>
      </c>
      <c r="C22" s="11" t="inlineStr">
        <is>
          <t>Berlim</t>
        </is>
      </c>
      <c r="D22" s="11" t="inlineStr">
        <is>
          <t>Ponto turístico</t>
        </is>
      </c>
      <c r="E22" s="11" t="inlineStr">
        <is>
          <t>Não</t>
        </is>
      </c>
      <c r="F22" s="11" t="inlineStr">
        <is>
          <t>0</t>
        </is>
      </c>
      <c r="G22" s="11" t="inlineStr">
        <is>
          <t>-</t>
        </is>
      </c>
      <c r="H22" s="11" t="inlineStr">
        <is>
          <t>2h00</t>
        </is>
      </c>
    </row>
    <row r="23">
      <c r="A23" s="11" t="inlineStr">
        <is>
          <t>AT-19</t>
        </is>
      </c>
      <c r="B23" s="11" t="inlineStr">
        <is>
          <t>Museum Island (ex: Pergamon)</t>
        </is>
      </c>
      <c r="C23" s="11" t="inlineStr">
        <is>
          <t>Berlim</t>
        </is>
      </c>
      <c r="D23" s="11" t="inlineStr">
        <is>
          <t>Museu</t>
        </is>
      </c>
      <c r="E23" s="11" t="inlineStr">
        <is>
          <t>Sim</t>
        </is>
      </c>
      <c r="F23" s="11" t="inlineStr">
        <is>
          <t>19 (estimado)</t>
        </is>
      </c>
      <c r="G23" s="11" t="inlineStr">
        <is>
          <t>A definir</t>
        </is>
      </c>
      <c r="H23" s="11" t="inlineStr">
        <is>
          <t>2h30</t>
        </is>
      </c>
    </row>
    <row r="24">
      <c r="A24" s="11" t="inlineStr">
        <is>
          <t>AT-20</t>
        </is>
      </c>
      <c r="B24" s="11" t="inlineStr">
        <is>
          <t>Old Town + Wawel Castle</t>
        </is>
      </c>
      <c r="C24" s="11" t="inlineStr">
        <is>
          <t>Cracóvia</t>
        </is>
      </c>
      <c r="D24" s="11" t="inlineStr">
        <is>
          <t>Ponto turístico</t>
        </is>
      </c>
      <c r="E24" s="11" t="inlineStr">
        <is>
          <t>Sim (interior do castelo)</t>
        </is>
      </c>
      <c r="F24" s="11" t="inlineStr">
        <is>
          <t>15 (estimado)</t>
        </is>
      </c>
      <c r="G24" s="11" t="inlineStr">
        <is>
          <t>A definir</t>
        </is>
      </c>
      <c r="H24" s="11" t="inlineStr">
        <is>
          <t>3h00</t>
        </is>
      </c>
    </row>
    <row r="25">
      <c r="A25" s="11" t="inlineStr">
        <is>
          <t>AT-21</t>
        </is>
      </c>
      <c r="B25" s="11" t="inlineStr">
        <is>
          <t>Auschwitz-Birkenau (tour guiado)</t>
        </is>
      </c>
      <c r="C25" s="11" t="inlineStr">
        <is>
          <t>Auschwitz</t>
        </is>
      </c>
      <c r="D25" s="11" t="inlineStr">
        <is>
          <t>Memorial/Museu</t>
        </is>
      </c>
      <c r="E25" s="11" t="inlineStr">
        <is>
          <t>Sim</t>
        </is>
      </c>
      <c r="F25" s="11" t="inlineStr">
        <is>
          <t>150 PLN (~35 EUR)</t>
        </is>
      </c>
      <c r="G25" s="11" t="inlineStr">
        <is>
          <t>Reservar com antecedência</t>
        </is>
      </c>
      <c r="H25" s="11" t="inlineStr">
        <is>
          <t>7h00</t>
        </is>
      </c>
    </row>
    <row r="26">
      <c r="A26" s="11" t="inlineStr">
        <is>
          <t>AT-22</t>
        </is>
      </c>
      <c r="B26" s="11" t="inlineStr">
        <is>
          <t>Bunk'Art + city tour</t>
        </is>
      </c>
      <c r="C26" s="11" t="inlineStr">
        <is>
          <t>Tirana</t>
        </is>
      </c>
      <c r="D26" s="11" t="inlineStr">
        <is>
          <t>Museu</t>
        </is>
      </c>
      <c r="E26" s="11" t="inlineStr">
        <is>
          <t>Sim</t>
        </is>
      </c>
      <c r="F26" s="11" t="inlineStr">
        <is>
          <t>8 (estimado)</t>
        </is>
      </c>
      <c r="G26" s="11" t="inlineStr">
        <is>
          <t>-</t>
        </is>
      </c>
      <c r="H26" s="11" t="inlineStr">
        <is>
          <t>2h30</t>
        </is>
      </c>
    </row>
  </sheetData>
  <autoFilter ref="A4:H26"/>
  <mergeCells count="2">
    <mergeCell ref="A2:H2"/>
    <mergeCell ref="A1:H1"/>
  </mergeCells>
  <dataValidations count="2">
    <dataValidation sqref="E5:E26" showDropDown="0" showInputMessage="0" showErrorMessage="0" allowBlank="1" type="list">
      <formula1>"Sim,Não"</formula1>
    </dataValidation>
    <dataValidation sqref="D5:D26" showDropDown="0" showInputMessage="0" showErrorMessage="0" allowBlank="1" type="list">
      <formula1>"Museu,Ponto turístico,Passeio,Memorial/Museu"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6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9" t="inlineStr">
        <is>
          <t>💸 CONTROLE FINANCEIRO</t>
        </is>
      </c>
    </row>
    <row r="2">
      <c r="A2" s="2" t="inlineStr">
        <is>
          <t>EUROTRIP 2026 — 49 registros</t>
        </is>
      </c>
    </row>
    <row r="4">
      <c r="A4" s="10" t="inlineStr">
        <is>
          <t>ID</t>
        </is>
      </c>
      <c r="B4" s="10" t="inlineStr">
        <is>
          <t>Categoria</t>
        </is>
      </c>
      <c r="C4" s="10" t="inlineStr">
        <is>
          <t>Item</t>
        </is>
      </c>
      <c r="D4" s="10" t="inlineStr">
        <is>
          <t>Valor Estimado</t>
        </is>
      </c>
      <c r="E4" s="10" t="inlineStr">
        <is>
          <t>Valor Real</t>
        </is>
      </c>
      <c r="F4" s="10" t="inlineStr">
        <is>
          <t>Moeda</t>
        </is>
      </c>
      <c r="G4" s="10" t="inlineStr">
        <is>
          <t>Pago?</t>
        </is>
      </c>
    </row>
    <row r="5">
      <c r="A5" s="11" t="inlineStr">
        <is>
          <t>F-01</t>
        </is>
      </c>
      <c r="B5" s="11" t="inlineStr">
        <is>
          <t>Passeio</t>
        </is>
      </c>
      <c r="C5" s="11" t="inlineStr">
        <is>
          <t>Ingresso - Duomo di Milano + terraço</t>
        </is>
      </c>
      <c r="D5" s="16" t="inlineStr">
        <is>
          <t>20 (estimado)</t>
        </is>
      </c>
      <c r="E5" s="11" t="inlineStr"/>
      <c r="F5" s="11" t="inlineStr">
        <is>
          <t>EUR</t>
        </is>
      </c>
      <c r="G5" s="11" t="inlineStr">
        <is>
          <t>Não</t>
        </is>
      </c>
    </row>
    <row r="6">
      <c r="A6" s="11" t="inlineStr">
        <is>
          <t>F-02</t>
        </is>
      </c>
      <c r="B6" s="11" t="inlineStr">
        <is>
          <t>Passeio</t>
        </is>
      </c>
      <c r="C6" s="11" t="inlineStr">
        <is>
          <t>Ingresso - Santa Maria delle Grazie (A Última Ceia)</t>
        </is>
      </c>
      <c r="D6" s="16" t="inlineStr">
        <is>
          <t>15</t>
        </is>
      </c>
      <c r="E6" s="11" t="inlineStr"/>
      <c r="F6" s="11" t="inlineStr">
        <is>
          <t>EUR</t>
        </is>
      </c>
      <c r="G6" s="11" t="inlineStr">
        <is>
          <t>Não</t>
        </is>
      </c>
    </row>
    <row r="7">
      <c r="A7" s="11" t="inlineStr">
        <is>
          <t>F-03</t>
        </is>
      </c>
      <c r="B7" s="11" t="inlineStr">
        <is>
          <t>Passeio</t>
        </is>
      </c>
      <c r="C7" s="11" t="inlineStr">
        <is>
          <t>Ingresso - Museu Leonardo da Vinci</t>
        </is>
      </c>
      <c r="D7" s="16" t="inlineStr">
        <is>
          <t>10</t>
        </is>
      </c>
      <c r="E7" s="11" t="inlineStr"/>
      <c r="F7" s="11" t="inlineStr">
        <is>
          <t>EUR</t>
        </is>
      </c>
      <c r="G7" s="11" t="inlineStr">
        <is>
          <t>Não</t>
        </is>
      </c>
    </row>
    <row r="8">
      <c r="A8" s="11" t="inlineStr">
        <is>
          <t>F-04</t>
        </is>
      </c>
      <c r="B8" s="11" t="inlineStr">
        <is>
          <t>Passeio</t>
        </is>
      </c>
      <c r="C8" s="11" t="inlineStr">
        <is>
          <t>Ingresso - Capri - barco + funicular</t>
        </is>
      </c>
      <c r="D8" s="16" t="inlineStr">
        <is>
          <t>40 (estimado)</t>
        </is>
      </c>
      <c r="E8" s="11" t="inlineStr"/>
      <c r="F8" s="11" t="inlineStr">
        <is>
          <t>EUR</t>
        </is>
      </c>
      <c r="G8" s="11" t="inlineStr">
        <is>
          <t>Não</t>
        </is>
      </c>
    </row>
    <row r="9">
      <c r="A9" s="11" t="inlineStr">
        <is>
          <t>F-05</t>
        </is>
      </c>
      <c r="B9" s="11" t="inlineStr">
        <is>
          <t>Passeio</t>
        </is>
      </c>
      <c r="C9" s="11" t="inlineStr">
        <is>
          <t>Ingresso - Pompeia (sítio arqueológico)</t>
        </is>
      </c>
      <c r="D9" s="16" t="inlineStr">
        <is>
          <t>18 (estimado)</t>
        </is>
      </c>
      <c r="E9" s="11" t="inlineStr"/>
      <c r="F9" s="11" t="inlineStr">
        <is>
          <t>EUR</t>
        </is>
      </c>
      <c r="G9" s="11" t="inlineStr">
        <is>
          <t>Não</t>
        </is>
      </c>
    </row>
    <row r="10">
      <c r="A10" s="11" t="inlineStr">
        <is>
          <t>F-06</t>
        </is>
      </c>
      <c r="B10" s="11" t="inlineStr">
        <is>
          <t>Passeio</t>
        </is>
      </c>
      <c r="C10" s="11" t="inlineStr">
        <is>
          <t>Ingresso - Coliseu + Fórum Romano + Palatino</t>
        </is>
      </c>
      <c r="D10" s="16" t="inlineStr">
        <is>
          <t>18</t>
        </is>
      </c>
      <c r="E10" s="11" t="inlineStr"/>
      <c r="F10" s="11" t="inlineStr">
        <is>
          <t>EUR</t>
        </is>
      </c>
      <c r="G10" s="11" t="inlineStr">
        <is>
          <t>Não</t>
        </is>
      </c>
    </row>
    <row r="11">
      <c r="A11" s="11" t="inlineStr">
        <is>
          <t>F-07</t>
        </is>
      </c>
      <c r="B11" s="11" t="inlineStr">
        <is>
          <t>Passeio</t>
        </is>
      </c>
      <c r="C11" s="11" t="inlineStr">
        <is>
          <t>Ingresso - Museus Vaticanos + Capela Sistina</t>
        </is>
      </c>
      <c r="D11" s="16" t="inlineStr">
        <is>
          <t>20</t>
        </is>
      </c>
      <c r="E11" s="11" t="inlineStr"/>
      <c r="F11" s="11" t="inlineStr">
        <is>
          <t>EUR</t>
        </is>
      </c>
      <c r="G11" s="11" t="inlineStr">
        <is>
          <t>Não</t>
        </is>
      </c>
    </row>
    <row r="12">
      <c r="A12" s="11" t="inlineStr">
        <is>
          <t>F-08</t>
        </is>
      </c>
      <c r="B12" s="11" t="inlineStr">
        <is>
          <t>Passeio</t>
        </is>
      </c>
      <c r="C12" s="11" t="inlineStr">
        <is>
          <t>Ingresso - Uffizi + Duomo Firenze</t>
        </is>
      </c>
      <c r="D12" s="16" t="inlineStr">
        <is>
          <t>25 (estimado)</t>
        </is>
      </c>
      <c r="E12" s="11" t="inlineStr"/>
      <c r="F12" s="11" t="inlineStr">
        <is>
          <t>EUR</t>
        </is>
      </c>
      <c r="G12" s="11" t="inlineStr">
        <is>
          <t>Não</t>
        </is>
      </c>
    </row>
    <row r="13">
      <c r="A13" s="11" t="inlineStr">
        <is>
          <t>F-09</t>
        </is>
      </c>
      <c r="B13" s="11" t="inlineStr">
        <is>
          <t>Passeio</t>
        </is>
      </c>
      <c r="C13" s="11" t="inlineStr">
        <is>
          <t>Ingresso - Torre Eiffel (cume)</t>
        </is>
      </c>
      <c r="D13" s="16" t="inlineStr">
        <is>
          <t>36,70</t>
        </is>
      </c>
      <c r="E13" s="11" t="inlineStr"/>
      <c r="F13" s="11" t="inlineStr">
        <is>
          <t>EUR</t>
        </is>
      </c>
      <c r="G13" s="11" t="inlineStr">
        <is>
          <t>Não</t>
        </is>
      </c>
    </row>
    <row r="14">
      <c r="A14" s="11" t="inlineStr">
        <is>
          <t>F-10</t>
        </is>
      </c>
      <c r="B14" s="11" t="inlineStr">
        <is>
          <t>Passeio</t>
        </is>
      </c>
      <c r="C14" s="11" t="inlineStr">
        <is>
          <t>Ingresso - Museu do Louvre</t>
        </is>
      </c>
      <c r="D14" s="16" t="inlineStr">
        <is>
          <t>22 (estimado)</t>
        </is>
      </c>
      <c r="E14" s="11" t="inlineStr"/>
      <c r="F14" s="11" t="inlineStr">
        <is>
          <t>EUR</t>
        </is>
      </c>
      <c r="G14" s="11" t="inlineStr">
        <is>
          <t>Não</t>
        </is>
      </c>
    </row>
    <row r="15">
      <c r="A15" s="11" t="inlineStr">
        <is>
          <t>F-11</t>
        </is>
      </c>
      <c r="B15" s="11" t="inlineStr">
        <is>
          <t>Passeio</t>
        </is>
      </c>
      <c r="C15" s="11" t="inlineStr">
        <is>
          <t>Ingresso - Palácio de Versalhes</t>
        </is>
      </c>
      <c r="D15" s="16" t="inlineStr">
        <is>
          <t>21 (estimado)</t>
        </is>
      </c>
      <c r="E15" s="11" t="inlineStr"/>
      <c r="F15" s="11" t="inlineStr">
        <is>
          <t>EUR</t>
        </is>
      </c>
      <c r="G15" s="11" t="inlineStr">
        <is>
          <t>Não</t>
        </is>
      </c>
    </row>
    <row r="16">
      <c r="A16" s="11" t="inlineStr">
        <is>
          <t>F-12</t>
        </is>
      </c>
      <c r="B16" s="11" t="inlineStr">
        <is>
          <t>Passeio</t>
        </is>
      </c>
      <c r="C16" s="11" t="inlineStr">
        <is>
          <t>Ingresso - Casemates + city tour</t>
        </is>
      </c>
      <c r="D16" s="16" t="inlineStr">
        <is>
          <t>7 (estimado)</t>
        </is>
      </c>
      <c r="E16" s="11" t="inlineStr"/>
      <c r="F16" s="11" t="inlineStr">
        <is>
          <t>EUR</t>
        </is>
      </c>
      <c r="G16" s="11" t="inlineStr">
        <is>
          <t>Não</t>
        </is>
      </c>
    </row>
    <row r="17">
      <c r="A17" s="11" t="inlineStr">
        <is>
          <t>F-13</t>
        </is>
      </c>
      <c r="B17" s="11" t="inlineStr">
        <is>
          <t>Passeio</t>
        </is>
      </c>
      <c r="C17" s="11" t="inlineStr">
        <is>
          <t>Ingresso - Catedral de Colônia</t>
        </is>
      </c>
      <c r="D17" s="16" t="inlineStr">
        <is>
          <t>0 / 6 (torre)</t>
        </is>
      </c>
      <c r="E17" s="11" t="inlineStr"/>
      <c r="F17" s="11" t="inlineStr">
        <is>
          <t>EUR</t>
        </is>
      </c>
      <c r="G17" s="11" t="inlineStr">
        <is>
          <t>Não</t>
        </is>
      </c>
    </row>
    <row r="18">
      <c r="A18" s="11" t="inlineStr">
        <is>
          <t>F-14</t>
        </is>
      </c>
      <c r="B18" s="11" t="inlineStr">
        <is>
          <t>Passeio</t>
        </is>
      </c>
      <c r="C18" s="11" t="inlineStr">
        <is>
          <t>Ingresso - Museum Island (ex: Pergamon)</t>
        </is>
      </c>
      <c r="D18" s="16" t="inlineStr">
        <is>
          <t>19 (estimado)</t>
        </is>
      </c>
      <c r="E18" s="11" t="inlineStr"/>
      <c r="F18" s="11" t="inlineStr">
        <is>
          <t>EUR</t>
        </is>
      </c>
      <c r="G18" s="11" t="inlineStr">
        <is>
          <t>Não</t>
        </is>
      </c>
    </row>
    <row r="19">
      <c r="A19" s="11" t="inlineStr">
        <is>
          <t>F-15</t>
        </is>
      </c>
      <c r="B19" s="11" t="inlineStr">
        <is>
          <t>Passeio</t>
        </is>
      </c>
      <c r="C19" s="11" t="inlineStr">
        <is>
          <t>Ingresso - Old Town + Wawel Castle</t>
        </is>
      </c>
      <c r="D19" s="16" t="inlineStr">
        <is>
          <t>15 (estimado)</t>
        </is>
      </c>
      <c r="E19" s="11" t="inlineStr"/>
      <c r="F19" s="11" t="inlineStr">
        <is>
          <t>EUR</t>
        </is>
      </c>
      <c r="G19" s="11" t="inlineStr">
        <is>
          <t>Não</t>
        </is>
      </c>
    </row>
    <row r="20">
      <c r="A20" s="11" t="inlineStr">
        <is>
          <t>F-16</t>
        </is>
      </c>
      <c r="B20" s="11" t="inlineStr">
        <is>
          <t>Passeio</t>
        </is>
      </c>
      <c r="C20" s="11" t="inlineStr">
        <is>
          <t>Ingresso - Auschwitz-Birkenau (tour guiado)</t>
        </is>
      </c>
      <c r="D20" s="16" t="inlineStr">
        <is>
          <t>150 PLN (~35 EUR)</t>
        </is>
      </c>
      <c r="E20" s="11" t="inlineStr"/>
      <c r="F20" s="11" t="inlineStr">
        <is>
          <t>EUR</t>
        </is>
      </c>
      <c r="G20" s="11" t="inlineStr">
        <is>
          <t>Não</t>
        </is>
      </c>
    </row>
    <row r="21">
      <c r="A21" s="11" t="inlineStr">
        <is>
          <t>F-17</t>
        </is>
      </c>
      <c r="B21" s="11" t="inlineStr">
        <is>
          <t>Passeio</t>
        </is>
      </c>
      <c r="C21" s="11" t="inlineStr">
        <is>
          <t>Ingresso - Bunk'Art + city tour</t>
        </is>
      </c>
      <c r="D21" s="16" t="inlineStr">
        <is>
          <t>8 (estimado)</t>
        </is>
      </c>
      <c r="E21" s="11" t="inlineStr"/>
      <c r="F21" s="11" t="inlineStr">
        <is>
          <t>EUR</t>
        </is>
      </c>
      <c r="G21" s="11" t="inlineStr">
        <is>
          <t>Não</t>
        </is>
      </c>
    </row>
    <row r="22">
      <c r="A22" s="11" t="inlineStr">
        <is>
          <t>F-18</t>
        </is>
      </c>
      <c r="B22" s="11" t="inlineStr">
        <is>
          <t>Hospedagem</t>
        </is>
      </c>
      <c r="C22" s="11" t="inlineStr">
        <is>
          <t>Hospedagem Milão (2 noites x ~110 EUR/noite)</t>
        </is>
      </c>
      <c r="D22" s="16" t="inlineStr">
        <is>
          <t>220</t>
        </is>
      </c>
      <c r="E22" s="11" t="inlineStr"/>
      <c r="F22" s="11" t="inlineStr">
        <is>
          <t>EUR</t>
        </is>
      </c>
      <c r="G22" s="11" t="inlineStr">
        <is>
          <t>Não</t>
        </is>
      </c>
    </row>
    <row r="23">
      <c r="A23" s="11" t="inlineStr">
        <is>
          <t>F-19</t>
        </is>
      </c>
      <c r="B23" s="11" t="inlineStr">
        <is>
          <t>Hospedagem</t>
        </is>
      </c>
      <c r="C23" s="11" t="inlineStr">
        <is>
          <t>Hospedagem Lago di Garda (2 noites x ~100 EUR/noite)</t>
        </is>
      </c>
      <c r="D23" s="16" t="inlineStr">
        <is>
          <t>200</t>
        </is>
      </c>
      <c r="E23" s="11" t="inlineStr"/>
      <c r="F23" s="11" t="inlineStr">
        <is>
          <t>EUR</t>
        </is>
      </c>
      <c r="G23" s="11" t="inlineStr">
        <is>
          <t>Não</t>
        </is>
      </c>
    </row>
    <row r="24">
      <c r="A24" s="11" t="inlineStr">
        <is>
          <t>F-20</t>
        </is>
      </c>
      <c r="B24" s="11" t="inlineStr">
        <is>
          <t>Hospedagem</t>
        </is>
      </c>
      <c r="C24" s="11" t="inlineStr">
        <is>
          <t>Hospedagem Sorrento (5 noites x ~130 EUR/noite)</t>
        </is>
      </c>
      <c r="D24" s="16" t="inlineStr">
        <is>
          <t>650</t>
        </is>
      </c>
      <c r="E24" s="11" t="inlineStr"/>
      <c r="F24" s="11" t="inlineStr">
        <is>
          <t>EUR</t>
        </is>
      </c>
      <c r="G24" s="11" t="inlineStr">
        <is>
          <t>Não</t>
        </is>
      </c>
    </row>
    <row r="25">
      <c r="A25" s="11" t="inlineStr">
        <is>
          <t>F-21</t>
        </is>
      </c>
      <c r="B25" s="11" t="inlineStr">
        <is>
          <t>Hospedagem</t>
        </is>
      </c>
      <c r="C25" s="11" t="inlineStr">
        <is>
          <t>Hospedagem Roma (3 noites x ~120 EUR/noite)</t>
        </is>
      </c>
      <c r="D25" s="16" t="inlineStr">
        <is>
          <t>360</t>
        </is>
      </c>
      <c r="E25" s="11" t="inlineStr"/>
      <c r="F25" s="11" t="inlineStr">
        <is>
          <t>EUR</t>
        </is>
      </c>
      <c r="G25" s="11" t="inlineStr">
        <is>
          <t>Não</t>
        </is>
      </c>
    </row>
    <row r="26">
      <c r="A26" s="11" t="inlineStr">
        <is>
          <t>F-22</t>
        </is>
      </c>
      <c r="B26" s="11" t="inlineStr">
        <is>
          <t>Hospedagem</t>
        </is>
      </c>
      <c r="C26" s="11" t="inlineStr">
        <is>
          <t>Hospedagem Florença (2 noites x ~110 EUR/noite)</t>
        </is>
      </c>
      <c r="D26" s="16" t="inlineStr">
        <is>
          <t>220</t>
        </is>
      </c>
      <c r="E26" s="11" t="inlineStr"/>
      <c r="F26" s="11" t="inlineStr">
        <is>
          <t>EUR</t>
        </is>
      </c>
      <c r="G26" s="11" t="inlineStr">
        <is>
          <t>Não</t>
        </is>
      </c>
    </row>
    <row r="27">
      <c r="A27" s="11" t="inlineStr">
        <is>
          <t>F-23</t>
        </is>
      </c>
      <c r="B27" s="11" t="inlineStr">
        <is>
          <t>Hospedagem</t>
        </is>
      </c>
      <c r="C27" s="11" t="inlineStr">
        <is>
          <t>Hospedagem Milão (1 noites x ~90 EUR/noite)</t>
        </is>
      </c>
      <c r="D27" s="16" t="inlineStr">
        <is>
          <t>90</t>
        </is>
      </c>
      <c r="E27" s="11" t="inlineStr"/>
      <c r="F27" s="11" t="inlineStr">
        <is>
          <t>EUR</t>
        </is>
      </c>
      <c r="G27" s="11" t="inlineStr">
        <is>
          <t>Não</t>
        </is>
      </c>
    </row>
    <row r="28">
      <c r="A28" s="11" t="inlineStr">
        <is>
          <t>F-24</t>
        </is>
      </c>
      <c r="B28" s="11" t="inlineStr">
        <is>
          <t>Hospedagem</t>
        </is>
      </c>
      <c r="C28" s="11" t="inlineStr">
        <is>
          <t>Hospedagem Paris (4 noites x ~140 EUR/noite)</t>
        </is>
      </c>
      <c r="D28" s="16" t="inlineStr">
        <is>
          <t>560</t>
        </is>
      </c>
      <c r="E28" s="11" t="inlineStr"/>
      <c r="F28" s="11" t="inlineStr">
        <is>
          <t>EUR</t>
        </is>
      </c>
      <c r="G28" s="11" t="inlineStr">
        <is>
          <t>Não</t>
        </is>
      </c>
    </row>
    <row r="29">
      <c r="A29" s="11" t="inlineStr">
        <is>
          <t>F-25</t>
        </is>
      </c>
      <c r="B29" s="11" t="inlineStr">
        <is>
          <t>Hospedagem</t>
        </is>
      </c>
      <c r="C29" s="11" t="inlineStr">
        <is>
          <t>Hospedagem Luxemburgo (1 noites x ~120 EUR/noite)</t>
        </is>
      </c>
      <c r="D29" s="16" t="inlineStr">
        <is>
          <t>120</t>
        </is>
      </c>
      <c r="E29" s="11" t="inlineStr"/>
      <c r="F29" s="11" t="inlineStr">
        <is>
          <t>EUR</t>
        </is>
      </c>
      <c r="G29" s="11" t="inlineStr">
        <is>
          <t>Não</t>
        </is>
      </c>
    </row>
    <row r="30">
      <c r="A30" s="11" t="inlineStr">
        <is>
          <t>F-26</t>
        </is>
      </c>
      <c r="B30" s="11" t="inlineStr">
        <is>
          <t>Hospedagem</t>
        </is>
      </c>
      <c r="C30" s="11" t="inlineStr">
        <is>
          <t>Hospedagem Colônia (2 noites x ~100 EUR/noite)</t>
        </is>
      </c>
      <c r="D30" s="16" t="inlineStr">
        <is>
          <t>200</t>
        </is>
      </c>
      <c r="E30" s="11" t="inlineStr"/>
      <c r="F30" s="11" t="inlineStr">
        <is>
          <t>EUR</t>
        </is>
      </c>
      <c r="G30" s="11" t="inlineStr">
        <is>
          <t>Não</t>
        </is>
      </c>
    </row>
    <row r="31">
      <c r="A31" s="11" t="inlineStr">
        <is>
          <t>F-27</t>
        </is>
      </c>
      <c r="B31" s="11" t="inlineStr">
        <is>
          <t>Hospedagem</t>
        </is>
      </c>
      <c r="C31" s="11" t="inlineStr">
        <is>
          <t>Hospedagem Berlim (2 noites x ~100 EUR/noite)</t>
        </is>
      </c>
      <c r="D31" s="16" t="inlineStr">
        <is>
          <t>200</t>
        </is>
      </c>
      <c r="E31" s="11" t="inlineStr"/>
      <c r="F31" s="11" t="inlineStr">
        <is>
          <t>EUR</t>
        </is>
      </c>
      <c r="G31" s="11" t="inlineStr">
        <is>
          <t>Não</t>
        </is>
      </c>
    </row>
    <row r="32">
      <c r="A32" s="11" t="inlineStr">
        <is>
          <t>F-28</t>
        </is>
      </c>
      <c r="B32" s="11" t="inlineStr">
        <is>
          <t>Hospedagem</t>
        </is>
      </c>
      <c r="C32" s="11" t="inlineStr">
        <is>
          <t>Hospedagem Cracóvia (3 noites x ~70 EUR/noite)</t>
        </is>
      </c>
      <c r="D32" s="16" t="inlineStr">
        <is>
          <t>210</t>
        </is>
      </c>
      <c r="E32" s="11" t="inlineStr"/>
      <c r="F32" s="11" t="inlineStr">
        <is>
          <t>EUR</t>
        </is>
      </c>
      <c r="G32" s="11" t="inlineStr">
        <is>
          <t>Não</t>
        </is>
      </c>
    </row>
    <row r="33">
      <c r="A33" s="11" t="inlineStr">
        <is>
          <t>F-29</t>
        </is>
      </c>
      <c r="B33" s="11" t="inlineStr">
        <is>
          <t>Hospedagem</t>
        </is>
      </c>
      <c r="C33" s="11" t="inlineStr">
        <is>
          <t>Hospedagem Tirana (2 noites x ~50 EUR/noite)</t>
        </is>
      </c>
      <c r="D33" s="16" t="inlineStr">
        <is>
          <t>100</t>
        </is>
      </c>
      <c r="E33" s="11" t="inlineStr"/>
      <c r="F33" s="11" t="inlineStr">
        <is>
          <t>EUR</t>
        </is>
      </c>
      <c r="G33" s="11" t="inlineStr">
        <is>
          <t>Não</t>
        </is>
      </c>
    </row>
    <row r="34">
      <c r="A34" s="11" t="inlineStr">
        <is>
          <t>F-30</t>
        </is>
      </c>
      <c r="B34" s="11" t="inlineStr">
        <is>
          <t>Transporte</t>
        </is>
      </c>
      <c r="C34" s="11" t="inlineStr">
        <is>
          <t>Voo internacional Brasil -&gt; Milão</t>
        </is>
      </c>
      <c r="D34" s="16" t="inlineStr">
        <is>
          <t>900</t>
        </is>
      </c>
      <c r="E34" s="11" t="inlineStr"/>
      <c r="F34" s="11" t="inlineStr">
        <is>
          <t>EUR</t>
        </is>
      </c>
      <c r="G34" s="11" t="inlineStr">
        <is>
          <t>Não</t>
        </is>
      </c>
    </row>
    <row r="35">
      <c r="A35" s="11" t="inlineStr">
        <is>
          <t>F-31</t>
        </is>
      </c>
      <c r="B35" s="11" t="inlineStr">
        <is>
          <t>Transporte</t>
        </is>
      </c>
      <c r="C35" s="11" t="inlineStr">
        <is>
          <t>Trem Pordenone -&gt; Veneza</t>
        </is>
      </c>
      <c r="D35" s="16" t="inlineStr">
        <is>
          <t>15</t>
        </is>
      </c>
      <c r="E35" s="11" t="inlineStr"/>
      <c r="F35" s="11" t="inlineStr">
        <is>
          <t>EUR</t>
        </is>
      </c>
      <c r="G35" s="11" t="inlineStr">
        <is>
          <t>Não</t>
        </is>
      </c>
    </row>
    <row r="36">
      <c r="A36" s="11" t="inlineStr">
        <is>
          <t>F-32</t>
        </is>
      </c>
      <c r="B36" s="11" t="inlineStr">
        <is>
          <t>Transporte</t>
        </is>
      </c>
      <c r="C36" s="11" t="inlineStr">
        <is>
          <t>Voo Veneza -&gt; Nápoles</t>
        </is>
      </c>
      <c r="D36" s="16" t="inlineStr">
        <is>
          <t>80</t>
        </is>
      </c>
      <c r="E36" s="11" t="inlineStr"/>
      <c r="F36" s="11" t="inlineStr">
        <is>
          <t>EUR</t>
        </is>
      </c>
      <c r="G36" s="11" t="inlineStr">
        <is>
          <t>Não</t>
        </is>
      </c>
    </row>
    <row r="37">
      <c r="A37" s="11" t="inlineStr">
        <is>
          <t>F-33</t>
        </is>
      </c>
      <c r="B37" s="11" t="inlineStr">
        <is>
          <t>Transporte</t>
        </is>
      </c>
      <c r="C37" s="11" t="inlineStr">
        <is>
          <t>Barco Sorrento &lt;-&gt; Capri</t>
        </is>
      </c>
      <c r="D37" s="16" t="inlineStr">
        <is>
          <t>40</t>
        </is>
      </c>
      <c r="E37" s="11" t="inlineStr"/>
      <c r="F37" s="11" t="inlineStr">
        <is>
          <t>EUR</t>
        </is>
      </c>
      <c r="G37" s="11" t="inlineStr">
        <is>
          <t>Não</t>
        </is>
      </c>
    </row>
    <row r="38">
      <c r="A38" s="11" t="inlineStr">
        <is>
          <t>F-34</t>
        </is>
      </c>
      <c r="B38" s="11" t="inlineStr">
        <is>
          <t>Transporte</t>
        </is>
      </c>
      <c r="C38" s="11" t="inlineStr">
        <is>
          <t>Trem Sorrento/Nápoles -&gt; Roma</t>
        </is>
      </c>
      <c r="D38" s="16" t="inlineStr">
        <is>
          <t>35</t>
        </is>
      </c>
      <c r="E38" s="11" t="inlineStr"/>
      <c r="F38" s="11" t="inlineStr">
        <is>
          <t>EUR</t>
        </is>
      </c>
      <c r="G38" s="11" t="inlineStr">
        <is>
          <t>Não</t>
        </is>
      </c>
    </row>
    <row r="39">
      <c r="A39" s="11" t="inlineStr">
        <is>
          <t>F-35</t>
        </is>
      </c>
      <c r="B39" s="11" t="inlineStr">
        <is>
          <t>Transporte</t>
        </is>
      </c>
      <c r="C39" s="11" t="inlineStr">
        <is>
          <t>Trem Roma -&gt; Florença</t>
        </is>
      </c>
      <c r="D39" s="16" t="inlineStr">
        <is>
          <t>45</t>
        </is>
      </c>
      <c r="E39" s="11" t="inlineStr"/>
      <c r="F39" s="11" t="inlineStr">
        <is>
          <t>EUR</t>
        </is>
      </c>
      <c r="G39" s="11" t="inlineStr">
        <is>
          <t>Não</t>
        </is>
      </c>
    </row>
    <row r="40">
      <c r="A40" s="11" t="inlineStr">
        <is>
          <t>F-36</t>
        </is>
      </c>
      <c r="B40" s="11" t="inlineStr">
        <is>
          <t>Transporte</t>
        </is>
      </c>
      <c r="C40" s="11" t="inlineStr">
        <is>
          <t>Trem Florença -&gt; Milão</t>
        </is>
      </c>
      <c r="D40" s="16" t="inlineStr">
        <is>
          <t>35</t>
        </is>
      </c>
      <c r="E40" s="11" t="inlineStr"/>
      <c r="F40" s="11" t="inlineStr">
        <is>
          <t>EUR</t>
        </is>
      </c>
      <c r="G40" s="11" t="inlineStr">
        <is>
          <t>Não</t>
        </is>
      </c>
    </row>
    <row r="41">
      <c r="A41" s="11" t="inlineStr">
        <is>
          <t>F-37</t>
        </is>
      </c>
      <c r="B41" s="11" t="inlineStr">
        <is>
          <t>Transporte</t>
        </is>
      </c>
      <c r="C41" s="11" t="inlineStr">
        <is>
          <t>Voo Milão -&gt; Paris</t>
        </is>
      </c>
      <c r="D41" s="16" t="inlineStr">
        <is>
          <t>90</t>
        </is>
      </c>
      <c r="E41" s="11" t="inlineStr"/>
      <c r="F41" s="11" t="inlineStr">
        <is>
          <t>EUR</t>
        </is>
      </c>
      <c r="G41" s="11" t="inlineStr">
        <is>
          <t>Não</t>
        </is>
      </c>
    </row>
    <row r="42">
      <c r="A42" s="11" t="inlineStr">
        <is>
          <t>F-38</t>
        </is>
      </c>
      <c r="B42" s="11" t="inlineStr">
        <is>
          <t>Transporte</t>
        </is>
      </c>
      <c r="C42" s="11" t="inlineStr">
        <is>
          <t>Trem Paris -&gt; Luxemburgo</t>
        </is>
      </c>
      <c r="D42" s="16" t="inlineStr">
        <is>
          <t>60</t>
        </is>
      </c>
      <c r="E42" s="11" t="inlineStr"/>
      <c r="F42" s="11" t="inlineStr">
        <is>
          <t>EUR</t>
        </is>
      </c>
      <c r="G42" s="11" t="inlineStr">
        <is>
          <t>Não</t>
        </is>
      </c>
    </row>
    <row r="43">
      <c r="A43" s="11" t="inlineStr">
        <is>
          <t>F-39</t>
        </is>
      </c>
      <c r="B43" s="11" t="inlineStr">
        <is>
          <t>Transporte</t>
        </is>
      </c>
      <c r="C43" s="11" t="inlineStr">
        <is>
          <t>Trem Luxemburgo -&gt; Colônia</t>
        </is>
      </c>
      <c r="D43" s="16" t="inlineStr">
        <is>
          <t>45</t>
        </is>
      </c>
      <c r="E43" s="11" t="inlineStr"/>
      <c r="F43" s="11" t="inlineStr">
        <is>
          <t>EUR</t>
        </is>
      </c>
      <c r="G43" s="11" t="inlineStr">
        <is>
          <t>Não</t>
        </is>
      </c>
    </row>
    <row r="44">
      <c r="A44" s="11" t="inlineStr">
        <is>
          <t>F-40</t>
        </is>
      </c>
      <c r="B44" s="11" t="inlineStr">
        <is>
          <t>Transporte</t>
        </is>
      </c>
      <c r="C44" s="11" t="inlineStr">
        <is>
          <t>Trem Colônia -&gt; Berlim</t>
        </is>
      </c>
      <c r="D44" s="16" t="inlineStr">
        <is>
          <t>70</t>
        </is>
      </c>
      <c r="E44" s="11" t="inlineStr"/>
      <c r="F44" s="11" t="inlineStr">
        <is>
          <t>EUR</t>
        </is>
      </c>
      <c r="G44" s="11" t="inlineStr">
        <is>
          <t>Não</t>
        </is>
      </c>
    </row>
    <row r="45">
      <c r="A45" s="11" t="inlineStr">
        <is>
          <t>F-41</t>
        </is>
      </c>
      <c r="B45" s="11" t="inlineStr">
        <is>
          <t>Transporte</t>
        </is>
      </c>
      <c r="C45" s="11" t="inlineStr">
        <is>
          <t>Trem Berlim -&gt; Cracóvia</t>
        </is>
      </c>
      <c r="D45" s="16" t="inlineStr">
        <is>
          <t>90</t>
        </is>
      </c>
      <c r="E45" s="11" t="inlineStr"/>
      <c r="F45" s="11" t="inlineStr">
        <is>
          <t>EUR</t>
        </is>
      </c>
      <c r="G45" s="11" t="inlineStr">
        <is>
          <t>Não</t>
        </is>
      </c>
    </row>
    <row r="46">
      <c r="A46" s="11" t="inlineStr">
        <is>
          <t>F-42</t>
        </is>
      </c>
      <c r="B46" s="11" t="inlineStr">
        <is>
          <t>Transporte</t>
        </is>
      </c>
      <c r="C46" s="11" t="inlineStr">
        <is>
          <t>Voo Cracóvia -&gt; Tirana</t>
        </is>
      </c>
      <c r="D46" s="16" t="inlineStr">
        <is>
          <t>60</t>
        </is>
      </c>
      <c r="E46" s="11" t="inlineStr"/>
      <c r="F46" s="11" t="inlineStr">
        <is>
          <t>EUR</t>
        </is>
      </c>
      <c r="G46" s="11" t="inlineStr">
        <is>
          <t>Não</t>
        </is>
      </c>
    </row>
    <row r="47">
      <c r="A47" s="11" t="inlineStr">
        <is>
          <t>F-43</t>
        </is>
      </c>
      <c r="B47" s="11" t="inlineStr">
        <is>
          <t>Transporte</t>
        </is>
      </c>
      <c r="C47" s="11" t="inlineStr">
        <is>
          <t>Voo Tirana -&gt; Brasil (retorno)</t>
        </is>
      </c>
      <c r="D47" s="16" t="inlineStr">
        <is>
          <t>950</t>
        </is>
      </c>
      <c r="E47" s="11" t="inlineStr"/>
      <c r="F47" s="11" t="inlineStr">
        <is>
          <t>EUR</t>
        </is>
      </c>
      <c r="G47" s="11" t="inlineStr">
        <is>
          <t>Não</t>
        </is>
      </c>
    </row>
    <row r="48">
      <c r="A48" s="11" t="inlineStr">
        <is>
          <t>F-44</t>
        </is>
      </c>
      <c r="B48" s="11" t="inlineStr">
        <is>
          <t>Alimentação</t>
        </is>
      </c>
      <c r="C48" s="11" t="inlineStr">
        <is>
          <t>Alimentação - Itália (15 dias x ~45 EUR/dia)</t>
        </is>
      </c>
      <c r="D48" s="16" t="inlineStr">
        <is>
          <t>675</t>
        </is>
      </c>
      <c r="E48" s="11" t="inlineStr"/>
      <c r="F48" s="11" t="inlineStr">
        <is>
          <t>EUR</t>
        </is>
      </c>
      <c r="G48" s="11" t="inlineStr">
        <is>
          <t>Não</t>
        </is>
      </c>
    </row>
    <row r="49">
      <c r="A49" s="11" t="inlineStr">
        <is>
          <t>F-45</t>
        </is>
      </c>
      <c r="B49" s="11" t="inlineStr">
        <is>
          <t>Alimentação</t>
        </is>
      </c>
      <c r="C49" s="11" t="inlineStr">
        <is>
          <t>Alimentação - França (4 dias x ~50 EUR/dia)</t>
        </is>
      </c>
      <c r="D49" s="16" t="inlineStr">
        <is>
          <t>200</t>
        </is>
      </c>
      <c r="E49" s="11" t="inlineStr"/>
      <c r="F49" s="11" t="inlineStr">
        <is>
          <t>EUR</t>
        </is>
      </c>
      <c r="G49" s="11" t="inlineStr">
        <is>
          <t>Não</t>
        </is>
      </c>
    </row>
    <row r="50">
      <c r="A50" s="11" t="inlineStr">
        <is>
          <t>F-46</t>
        </is>
      </c>
      <c r="B50" s="11" t="inlineStr">
        <is>
          <t>Alimentação</t>
        </is>
      </c>
      <c r="C50" s="11" t="inlineStr">
        <is>
          <t>Alimentação - Luxemburgo (1 dia x ~50 EUR/dia)</t>
        </is>
      </c>
      <c r="D50" s="16" t="inlineStr">
        <is>
          <t>50</t>
        </is>
      </c>
      <c r="E50" s="11" t="inlineStr"/>
      <c r="F50" s="11" t="inlineStr">
        <is>
          <t>EUR</t>
        </is>
      </c>
      <c r="G50" s="11" t="inlineStr">
        <is>
          <t>Não</t>
        </is>
      </c>
    </row>
    <row r="51">
      <c r="A51" s="11" t="inlineStr">
        <is>
          <t>F-47</t>
        </is>
      </c>
      <c r="B51" s="11" t="inlineStr">
        <is>
          <t>Alimentação</t>
        </is>
      </c>
      <c r="C51" s="11" t="inlineStr">
        <is>
          <t>Alimentação - Alemanha (4 dias x ~40 EUR/dia)</t>
        </is>
      </c>
      <c r="D51" s="16" t="inlineStr">
        <is>
          <t>160</t>
        </is>
      </c>
      <c r="E51" s="11" t="inlineStr"/>
      <c r="F51" s="11" t="inlineStr">
        <is>
          <t>EUR</t>
        </is>
      </c>
      <c r="G51" s="11" t="inlineStr">
        <is>
          <t>Não</t>
        </is>
      </c>
    </row>
    <row r="52">
      <c r="A52" s="11" t="inlineStr">
        <is>
          <t>F-48</t>
        </is>
      </c>
      <c r="B52" s="11" t="inlineStr">
        <is>
          <t>Alimentação</t>
        </is>
      </c>
      <c r="C52" s="11" t="inlineStr">
        <is>
          <t>Alimentação - Polônia (3 dias x ~30 EUR/dia)</t>
        </is>
      </c>
      <c r="D52" s="16" t="inlineStr">
        <is>
          <t>90</t>
        </is>
      </c>
      <c r="E52" s="11" t="inlineStr"/>
      <c r="F52" s="11" t="inlineStr">
        <is>
          <t>EUR</t>
        </is>
      </c>
      <c r="G52" s="11" t="inlineStr">
        <is>
          <t>Não</t>
        </is>
      </c>
    </row>
    <row r="53">
      <c r="A53" s="11" t="inlineStr">
        <is>
          <t>F-49</t>
        </is>
      </c>
      <c r="B53" s="11" t="inlineStr">
        <is>
          <t>Alimentação</t>
        </is>
      </c>
      <c r="C53" s="11" t="inlineStr">
        <is>
          <t>Alimentação - Albânia (3 dias x ~25 EUR/dia)</t>
        </is>
      </c>
      <c r="D53" s="16" t="inlineStr">
        <is>
          <t>75</t>
        </is>
      </c>
      <c r="E53" s="11" t="inlineStr"/>
      <c r="F53" s="11" t="inlineStr">
        <is>
          <t>EUR</t>
        </is>
      </c>
      <c r="G53" s="11" t="inlineStr">
        <is>
          <t>Não</t>
        </is>
      </c>
    </row>
    <row r="55">
      <c r="A55" s="5" t="inlineStr">
        <is>
          <t>TOTAL ESTIMADO (EUR)</t>
        </is>
      </c>
      <c r="D55" s="17">
        <f>SUM(D5:D53)</f>
        <v/>
      </c>
    </row>
  </sheetData>
  <autoFilter ref="A4:G53"/>
  <mergeCells count="2">
    <mergeCell ref="A2:G2"/>
    <mergeCell ref="A1:G1"/>
  </mergeCells>
  <dataValidations count="2">
    <dataValidation sqref="G5:G53" showDropDown="0" showInputMessage="0" showErrorMessage="0" allowBlank="1" type="list">
      <formula1>"Sim,Não"</formula1>
    </dataValidation>
    <dataValidation sqref="B5:B53" showDropDown="0" showInputMessage="0" showErrorMessage="0" allowBlank="1" type="list">
      <formula1>"Transporte,Alimentação,Hospedagem,Passeio"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</cols>
  <sheetData>
    <row r="1">
      <c r="A1" s="9" t="inlineStr">
        <is>
          <t>🎒 CHECKLIST DE VIAGEM</t>
        </is>
      </c>
    </row>
    <row r="2">
      <c r="A2" s="2" t="inlineStr">
        <is>
          <t>EUROTRIP 2026 — 21 registros</t>
        </is>
      </c>
    </row>
    <row r="4">
      <c r="A4" s="10" t="inlineStr">
        <is>
          <t>Categoria</t>
        </is>
      </c>
      <c r="B4" s="10" t="inlineStr">
        <is>
          <t>Item</t>
        </is>
      </c>
      <c r="C4" s="10" t="inlineStr">
        <is>
          <t>Status</t>
        </is>
      </c>
    </row>
    <row r="5">
      <c r="A5" s="11" t="inlineStr">
        <is>
          <t>Documentos</t>
        </is>
      </c>
      <c r="B5" s="11" t="inlineStr">
        <is>
          <t>Passaporte válido (6+ meses)</t>
        </is>
      </c>
      <c r="C5" s="11" t="inlineStr">
        <is>
          <t>Pendente</t>
        </is>
      </c>
    </row>
    <row r="6">
      <c r="A6" s="11" t="inlineStr">
        <is>
          <t>Documentos</t>
        </is>
      </c>
      <c r="B6" s="11" t="inlineStr">
        <is>
          <t>Visto Schengen (verificar necessidade)</t>
        </is>
      </c>
      <c r="C6" s="11" t="inlineStr">
        <is>
          <t>Pendente</t>
        </is>
      </c>
    </row>
    <row r="7">
      <c r="A7" s="11" t="inlineStr">
        <is>
          <t>Documentos</t>
        </is>
      </c>
      <c r="B7" s="11" t="inlineStr">
        <is>
          <t>Seguro saúde internacional</t>
        </is>
      </c>
      <c r="C7" s="11" t="inlineStr">
        <is>
          <t>OK</t>
        </is>
      </c>
    </row>
    <row r="8">
      <c r="A8" s="11" t="inlineStr">
        <is>
          <t>Documentos</t>
        </is>
      </c>
      <c r="B8" s="11" t="inlineStr">
        <is>
          <t>Cartão de vacinação internacional (febre amarela)</t>
        </is>
      </c>
      <c r="C8" s="11" t="inlineStr">
        <is>
          <t>OK</t>
        </is>
      </c>
    </row>
    <row r="9">
      <c r="A9" s="11" t="inlineStr">
        <is>
          <t>Documentos</t>
        </is>
      </c>
      <c r="B9" s="11" t="inlineStr">
        <is>
          <t>Reservas de hotel impressas/salvas offline</t>
        </is>
      </c>
      <c r="C9" s="11" t="inlineStr">
        <is>
          <t>Pendente</t>
        </is>
      </c>
    </row>
    <row r="10">
      <c r="A10" s="11" t="inlineStr">
        <is>
          <t>Documentos</t>
        </is>
      </c>
      <c r="B10" s="11" t="inlineStr">
        <is>
          <t>Reservas de ingressos com horário marcado</t>
        </is>
      </c>
      <c r="C10" s="11" t="inlineStr">
        <is>
          <t>Pendente</t>
        </is>
      </c>
    </row>
    <row r="11">
      <c r="A11" s="11" t="inlineStr">
        <is>
          <t>Medicamentos</t>
        </is>
      </c>
      <c r="B11" s="11" t="inlineStr">
        <is>
          <t>Protetor solar</t>
        </is>
      </c>
      <c r="C11" s="11" t="inlineStr">
        <is>
          <t>Pendente</t>
        </is>
      </c>
    </row>
    <row r="12">
      <c r="A12" s="11" t="inlineStr">
        <is>
          <t>Medicamentos</t>
        </is>
      </c>
      <c r="B12" s="11" t="inlineStr">
        <is>
          <t>Receita médica + bula dos remédios (dipirona não entra na bagagem)</t>
        </is>
      </c>
      <c r="C12" s="11" t="inlineStr">
        <is>
          <t>Pendente</t>
        </is>
      </c>
    </row>
    <row r="13">
      <c r="A13" s="11" t="inlineStr">
        <is>
          <t>Medicamentos</t>
        </is>
      </c>
      <c r="B13" s="11" t="inlineStr">
        <is>
          <t>Kit básico (analgésico permitido, curativos)</t>
        </is>
      </c>
      <c r="C13" s="11" t="inlineStr">
        <is>
          <t>Pendente</t>
        </is>
      </c>
    </row>
    <row r="14">
      <c r="A14" s="11" t="inlineStr">
        <is>
          <t>Bagagem</t>
        </is>
      </c>
      <c r="B14" s="11" t="inlineStr">
        <is>
          <t>Mala grande 20kg</t>
        </is>
      </c>
      <c r="C14" s="11" t="inlineStr">
        <is>
          <t>OK</t>
        </is>
      </c>
    </row>
    <row r="15">
      <c r="A15" s="11" t="inlineStr">
        <is>
          <t>Bagagem</t>
        </is>
      </c>
      <c r="B15" s="11" t="inlineStr">
        <is>
          <t>Mochila 40x30x15 (bagagem de mão)</t>
        </is>
      </c>
      <c r="C15" s="11" t="inlineStr">
        <is>
          <t>OK</t>
        </is>
      </c>
    </row>
    <row r="16">
      <c r="A16" s="11" t="inlineStr">
        <is>
          <t>Bagagem</t>
        </is>
      </c>
      <c r="B16" s="11" t="inlineStr">
        <is>
          <t>Saquinho de vedação transparente p/ líquidos (20x20 cm)</t>
        </is>
      </c>
      <c r="C16" s="11" t="inlineStr">
        <is>
          <t>Pendente</t>
        </is>
      </c>
    </row>
    <row r="17">
      <c r="A17" s="11" t="inlineStr">
        <is>
          <t>Bagagem</t>
        </is>
      </c>
      <c r="B17" s="11" t="inlineStr">
        <is>
          <t>Frascos até 100ml cada (máx. 1L somado)</t>
        </is>
      </c>
      <c r="C17" s="11" t="inlineStr">
        <is>
          <t>Pendente</t>
        </is>
      </c>
    </row>
    <row r="18">
      <c r="A18" s="11" t="inlineStr">
        <is>
          <t>Bagagem</t>
        </is>
      </c>
      <c r="B18" s="11" t="inlineStr">
        <is>
          <t>Embalagens travel size</t>
        </is>
      </c>
      <c r="C18" s="11" t="inlineStr">
        <is>
          <t>Pendente</t>
        </is>
      </c>
    </row>
    <row r="19">
      <c r="A19" s="11" t="inlineStr">
        <is>
          <t>Bagagem</t>
        </is>
      </c>
      <c r="B19" s="11" t="inlineStr">
        <is>
          <t>Gancho para lacrar bolsa</t>
        </is>
      </c>
      <c r="C19" s="11" t="inlineStr">
        <is>
          <t>Pendente</t>
        </is>
      </c>
    </row>
    <row r="20">
      <c r="A20" s="11" t="inlineStr">
        <is>
          <t>Eletrônicos</t>
        </is>
      </c>
      <c r="B20" s="11" t="inlineStr">
        <is>
          <t>Adaptador de tomada (padrão europeu tipo C/F)</t>
        </is>
      </c>
      <c r="C20" s="11" t="inlineStr">
        <is>
          <t>Pendente</t>
        </is>
      </c>
    </row>
    <row r="21">
      <c r="A21" s="11" t="inlineStr">
        <is>
          <t>Eletrônicos</t>
        </is>
      </c>
      <c r="B21" s="11" t="inlineStr">
        <is>
          <t>Power bank</t>
        </is>
      </c>
      <c r="C21" s="11" t="inlineStr">
        <is>
          <t>Pendente</t>
        </is>
      </c>
    </row>
    <row r="22">
      <c r="A22" s="11" t="inlineStr">
        <is>
          <t>Eletrônicos</t>
        </is>
      </c>
      <c r="B22" s="11" t="inlineStr">
        <is>
          <t>Chip/eSIM de internet internacional</t>
        </is>
      </c>
      <c r="C22" s="11" t="inlineStr">
        <is>
          <t>OK</t>
        </is>
      </c>
    </row>
    <row r="23">
      <c r="A23" s="11" t="inlineStr">
        <is>
          <t>Financeiro</t>
        </is>
      </c>
      <c r="B23" s="11" t="inlineStr">
        <is>
          <t>Cartão de crédito internacional (avisar banco da viagem)</t>
        </is>
      </c>
      <c r="C23" s="11" t="inlineStr">
        <is>
          <t>Pendente</t>
        </is>
      </c>
    </row>
    <row r="24">
      <c r="A24" s="11" t="inlineStr">
        <is>
          <t>Financeiro</t>
        </is>
      </c>
      <c r="B24" s="11" t="inlineStr">
        <is>
          <t>Trocar euros (dinheiro vivo para pequenas despesas)</t>
        </is>
      </c>
      <c r="C24" s="11" t="inlineStr">
        <is>
          <t>Pendente</t>
        </is>
      </c>
    </row>
    <row r="25">
      <c r="A25" s="11" t="inlineStr">
        <is>
          <t>Financeiro</t>
        </is>
      </c>
      <c r="B25" s="11" t="inlineStr">
        <is>
          <t>Verificar necessidade de zloty (Polônia) e lek (Albânia)</t>
        </is>
      </c>
      <c r="C25" s="11" t="inlineStr">
        <is>
          <t>Pendente</t>
        </is>
      </c>
    </row>
  </sheetData>
  <autoFilter ref="A4:C25"/>
  <mergeCells count="2">
    <mergeCell ref="A1:C1"/>
    <mergeCell ref="A2:C2"/>
  </mergeCells>
  <conditionalFormatting sqref="C5:C25">
    <cfRule type="cellIs" priority="1" operator="equal" dxfId="0">
      <formula>"OK"</formula>
    </cfRule>
    <cfRule type="cellIs" priority="2" operator="equal" dxfId="1">
      <formula>"Pendente"</formula>
    </cfRule>
  </conditionalFormatting>
  <dataValidations count="1">
    <dataValidation sqref="C5:C25" showDropDown="0" showInputMessage="0" showErrorMessage="0" allowBlank="1" type="list">
      <formula1>"Pendente,OK,Comprado"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2026-07-20T01:42:54Z</dcterms:created>
  <dcterms:modified xmlns:dcterms="http://purl.org/dc/terms/" xmlns:xsi="http://www.w3.org/2001/XMLSchema-instance" xsi:type="dcterms:W3CDTF">2026-07-20T01:42:54Z</dcterms:modified>
</cp:coreProperties>
</file>